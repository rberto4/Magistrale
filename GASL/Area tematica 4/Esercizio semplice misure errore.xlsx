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4ws1scEfsp2Y3FqSTh2d1B4VFE\Shared GSCM Group\Teaching\GASL 2023\"/>
    </mc:Choice>
  </mc:AlternateContent>
  <xr:revisionPtr revIDLastSave="0" documentId="8_{8C224D2F-1D4C-41DA-8B9E-7F35AFA63FEF}" xr6:coauthVersionLast="47" xr6:coauthVersionMax="47" xr10:uidLastSave="{00000000-0000-0000-0000-000000000000}"/>
  <bookViews>
    <workbookView xWindow="-110" yWindow="-110" windowWidth="19420" windowHeight="10300" xr2:uid="{0D8D0F83-0310-4AB7-BE35-0FA837A34FB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4" i="1"/>
  <c r="K5" i="1"/>
  <c r="K6" i="1"/>
  <c r="K3" i="1"/>
  <c r="J4" i="1"/>
  <c r="J5" i="1"/>
  <c r="J6" i="1"/>
  <c r="J3" i="1"/>
  <c r="I4" i="1"/>
  <c r="I5" i="1"/>
  <c r="I6" i="1"/>
  <c r="I3" i="1"/>
  <c r="H9" i="1"/>
  <c r="H7" i="1"/>
  <c r="H3" i="1"/>
  <c r="H4" i="1"/>
  <c r="H5" i="1"/>
  <c r="H6" i="1"/>
  <c r="H2" i="1"/>
  <c r="G7" i="1"/>
  <c r="G3" i="1"/>
  <c r="G4" i="1"/>
  <c r="G5" i="1"/>
  <c r="G6" i="1"/>
  <c r="G2" i="1"/>
  <c r="F7" i="1"/>
  <c r="F3" i="1"/>
  <c r="F4" i="1"/>
  <c r="F5" i="1"/>
  <c r="F6" i="1"/>
  <c r="F2" i="1"/>
  <c r="E7" i="1"/>
  <c r="E3" i="1"/>
  <c r="E4" i="1"/>
  <c r="E5" i="1"/>
  <c r="E6" i="1"/>
  <c r="E2" i="1"/>
  <c r="D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<sst xmlns="http://schemas.openxmlformats.org/spreadsheetml/2006/main" count="19" uniqueCount="19">
  <si>
    <t>Periodo</t>
  </si>
  <si>
    <t>Domanda</t>
  </si>
  <si>
    <t>Previsione</t>
  </si>
  <si>
    <t>Ft-Dt</t>
  </si>
  <si>
    <t>Media</t>
  </si>
  <si>
    <t>BIAS</t>
  </si>
  <si>
    <t>(Ft-Dt)/Dt</t>
  </si>
  <si>
    <t>MPE</t>
  </si>
  <si>
    <t>|Ft-Dt|</t>
  </si>
  <si>
    <t>MAD</t>
  </si>
  <si>
    <t>MAPE</t>
  </si>
  <si>
    <t>(Ft-Dt)^2</t>
  </si>
  <si>
    <t>MSE</t>
  </si>
  <si>
    <t>RMSE</t>
  </si>
  <si>
    <t>|FRt-Dt|</t>
  </si>
  <si>
    <t>|Ft-Dt|/|FRt-Dt|</t>
  </si>
  <si>
    <t>MRAE</t>
  </si>
  <si>
    <t>|Ft-Dt|/Dt</t>
  </si>
  <si>
    <t>FRt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</si>
</sst>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Franklin Gothic Book"/>
      <family val="2"/>
    </font>
    <font>
      <sz val="12"/>
      <color theme="1"/>
      <name val="Calibri"/>
      <family val="2"/>
      <scheme val="minor"/>
    </font>
    <font>
      <sz val="12"/>
      <color rgb="FF00000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8D7CD"/>
        <bgColor indexed="64"/>
      </patternFill>
    </fill>
    <fill>
      <patternFill patternType="solid">
        <fgColor rgb="FFFCECE8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3" borderId="2" xfId="0" applyFont="1" applyFill="1" applyBorder="1" applyAlignment="1">
      <alignment horizontal="center" wrapText="1" readingOrder="1"/>
    </xf>
    <xf numFmtId="0" fontId="4" fillId="4" borderId="3" xfId="0" applyFont="1" applyFill="1" applyBorder="1" applyAlignment="1">
      <alignment horizontal="center" wrapText="1" readingOrder="1"/>
    </xf>
    <xf numFmtId="0" fontId="4" fillId="3" borderId="3" xfId="0" applyFont="1" applyFill="1" applyBorder="1" applyAlignment="1">
      <alignment horizontal="center" wrapText="1" readingOrder="1"/>
    </xf>
    <xf numFmtId="9" fontId="3" fillId="0" borderId="0" xfId="2" applyFont="1"/>
    <xf numFmtId="43" fontId="3" fillId="0" borderId="0" xfId="1" applyFont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AF74-B653-4BBF-9C24-2111B2276B11}">
  <dimension ref="A1:K10"/>
  <sheetViews>
    <sheetView tabSelected="1" zoomScale="120" zoomScaleNormal="120" workbookViewId="0">
      <selection activeCell="D2" sqref="D2"/>
    </sheetView>
  </sheetViews>
  <sheetFormatPr defaultRowHeight="15.5" x14ac:dyDescent="0.35"/>
  <cols>
    <col min="1" max="1" width="8.6328125" style="2" bestFit="1" customWidth="1"/>
    <col min="2" max="2" width="10.7265625" style="2" bestFit="1" customWidth="1"/>
    <col min="3" max="3" width="11.54296875" style="2" bestFit="1" customWidth="1"/>
    <col min="4" max="4" width="8.7265625" style="2"/>
    <col min="5" max="5" width="9.7265625" style="2" bestFit="1" customWidth="1"/>
    <col min="6" max="6" width="8.7265625" style="2"/>
    <col min="7" max="7" width="12.90625" style="2" bestFit="1" customWidth="1"/>
    <col min="8" max="8" width="11.26953125" style="2" bestFit="1" customWidth="1"/>
    <col min="9" max="16384" width="8.7265625" style="2"/>
  </cols>
  <sheetData>
    <row r="1" spans="1:11" ht="16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6</v>
      </c>
      <c r="F1" s="2" t="s">
        <v>8</v>
      </c>
      <c r="G1" s="2" t="s">
        <v>17</v>
      </c>
      <c r="H1" s="2" t="s">
        <v>11</v>
      </c>
      <c r="I1" s="2" t="s">
        <v>18</v>
      </c>
      <c r="J1" s="2" t="s">
        <v>14</v>
      </c>
      <c r="K1" s="2" t="s">
        <v>15</v>
      </c>
    </row>
    <row r="2" spans="1:11" ht="17" thickTop="1" thickBot="1" x14ac:dyDescent="0.45">
      <c r="A2" s="3">
        <v>1</v>
      </c>
      <c r="B2" s="3">
        <v>625</v>
      </c>
      <c r="C2" s="3">
        <v>800</v>
      </c>
      <c r="D2" s="2">
        <f>C2-B2</f>
        <v>175</v>
      </c>
      <c r="E2" s="6">
        <f>D2/B2</f>
        <v>0.28000000000000003</v>
      </c>
      <c r="F2" s="2">
        <f>ABS(D2)</f>
        <v>175</v>
      </c>
      <c r="G2" s="6">
        <f>F2/B2</f>
        <v>0.28000000000000003</v>
      </c>
      <c r="H2" s="2">
        <f>D2^2</f>
        <v>30625</v>
      </c>
    </row>
    <row r="3" spans="1:11" ht="16.5" thickBot="1" x14ac:dyDescent="0.45">
      <c r="A3" s="4">
        <v>2</v>
      </c>
      <c r="B3" s="4">
        <v>318</v>
      </c>
      <c r="C3" s="4">
        <v>273</v>
      </c>
      <c r="D3" s="2">
        <f t="shared" ref="D3:D6" si="0">C3-B3</f>
        <v>-45</v>
      </c>
      <c r="E3" s="6">
        <f t="shared" ref="E3:E6" si="1">D3/B3</f>
        <v>-0.14150943396226415</v>
      </c>
      <c r="F3" s="2">
        <f t="shared" ref="F3:F6" si="2">ABS(D3)</f>
        <v>45</v>
      </c>
      <c r="G3" s="6">
        <f t="shared" ref="G3:G6" si="3">F3/B3</f>
        <v>0.14150943396226415</v>
      </c>
      <c r="H3" s="2">
        <f t="shared" ref="H3:H7" si="4">D3^2</f>
        <v>2025</v>
      </c>
      <c r="I3" s="2">
        <f>B2</f>
        <v>625</v>
      </c>
      <c r="J3" s="2">
        <f>ABS(I3-B3)</f>
        <v>307</v>
      </c>
      <c r="K3" s="2">
        <f>F3/J3</f>
        <v>0.1465798045602606</v>
      </c>
    </row>
    <row r="4" spans="1:11" ht="16.5" thickBot="1" x14ac:dyDescent="0.45">
      <c r="A4" s="5">
        <v>3</v>
      </c>
      <c r="B4" s="5">
        <v>905</v>
      </c>
      <c r="C4" s="5">
        <v>1204</v>
      </c>
      <c r="D4" s="2">
        <f t="shared" si="0"/>
        <v>299</v>
      </c>
      <c r="E4" s="6">
        <f t="shared" si="1"/>
        <v>0.33038674033149174</v>
      </c>
      <c r="F4" s="2">
        <f t="shared" si="2"/>
        <v>299</v>
      </c>
      <c r="G4" s="6">
        <f t="shared" si="3"/>
        <v>0.33038674033149174</v>
      </c>
      <c r="H4" s="2">
        <f t="shared" si="4"/>
        <v>89401</v>
      </c>
      <c r="I4" s="2">
        <f t="shared" ref="I4:I6" si="5">B3</f>
        <v>318</v>
      </c>
      <c r="J4" s="2">
        <f t="shared" ref="J4:J6" si="6">ABS(I4-B4)</f>
        <v>587</v>
      </c>
      <c r="K4" s="2">
        <f t="shared" ref="K4:K6" si="7">F4/J4</f>
        <v>0.50936967632027252</v>
      </c>
    </row>
    <row r="5" spans="1:11" ht="16.5" thickBot="1" x14ac:dyDescent="0.45">
      <c r="A5" s="4">
        <v>4</v>
      </c>
      <c r="B5" s="4">
        <v>888</v>
      </c>
      <c r="C5" s="4">
        <v>1110</v>
      </c>
      <c r="D5" s="2">
        <f t="shared" si="0"/>
        <v>222</v>
      </c>
      <c r="E5" s="6">
        <f t="shared" si="1"/>
        <v>0.25</v>
      </c>
      <c r="F5" s="2">
        <f t="shared" si="2"/>
        <v>222</v>
      </c>
      <c r="G5" s="6">
        <f t="shared" si="3"/>
        <v>0.25</v>
      </c>
      <c r="H5" s="2">
        <f t="shared" si="4"/>
        <v>49284</v>
      </c>
      <c r="I5" s="2">
        <f t="shared" si="5"/>
        <v>905</v>
      </c>
      <c r="J5" s="2">
        <f t="shared" si="6"/>
        <v>17</v>
      </c>
      <c r="K5" s="2">
        <f t="shared" si="7"/>
        <v>13.058823529411764</v>
      </c>
    </row>
    <row r="6" spans="1:11" ht="16.5" thickBot="1" x14ac:dyDescent="0.45">
      <c r="A6" s="5">
        <v>5</v>
      </c>
      <c r="B6" s="5">
        <v>210</v>
      </c>
      <c r="C6" s="5">
        <v>210</v>
      </c>
      <c r="D6" s="2">
        <f t="shared" si="0"/>
        <v>0</v>
      </c>
      <c r="E6" s="6">
        <f t="shared" si="1"/>
        <v>0</v>
      </c>
      <c r="F6" s="2">
        <f t="shared" si="2"/>
        <v>0</v>
      </c>
      <c r="G6" s="6">
        <f t="shared" si="3"/>
        <v>0</v>
      </c>
      <c r="H6" s="2">
        <f t="shared" si="4"/>
        <v>0</v>
      </c>
      <c r="I6" s="2">
        <f t="shared" si="5"/>
        <v>888</v>
      </c>
      <c r="J6" s="2">
        <f t="shared" si="6"/>
        <v>678</v>
      </c>
      <c r="K6" s="2">
        <f t="shared" si="7"/>
        <v>0</v>
      </c>
    </row>
    <row r="7" spans="1:11" x14ac:dyDescent="0.35">
      <c r="C7" s="2" t="s">
        <v>4</v>
      </c>
      <c r="D7" s="2">
        <f>AVERAGE(D2:D6)</f>
        <v>130.19999999999999</v>
      </c>
      <c r="E7" s="6">
        <f>AVERAGE(E2:E6)</f>
        <v>0.14377546127384552</v>
      </c>
      <c r="F7" s="7">
        <f>AVERAGE(F2:F6)</f>
        <v>148.19999999999999</v>
      </c>
      <c r="G7" s="6">
        <f>AVERAGE(G2:G6)</f>
        <v>0.20037923485875114</v>
      </c>
      <c r="H7" s="7">
        <f>AVERAGE(H2:H6)</f>
        <v>34267</v>
      </c>
      <c r="J7" s="7"/>
      <c r="K7" s="7">
        <f>AVERAGE(K3:K6)</f>
        <v>3.4286932525730744</v>
      </c>
    </row>
    <row r="8" spans="1:11" x14ac:dyDescent="0.35">
      <c r="D8" s="2" t="s">
        <v>5</v>
      </c>
      <c r="E8" s="2" t="s">
        <v>7</v>
      </c>
      <c r="F8" s="2" t="s">
        <v>9</v>
      </c>
      <c r="G8" s="2" t="s">
        <v>10</v>
      </c>
      <c r="H8" s="2" t="s">
        <v>12</v>
      </c>
      <c r="K8" s="2" t="s">
        <v>16</v>
      </c>
    </row>
    <row r="9" spans="1:11" x14ac:dyDescent="0.35">
      <c r="H9" s="2">
        <f>SQRT(H7)</f>
        <v>185.11347870968228</v>
      </c>
    </row>
    <row r="10" spans="1:11" x14ac:dyDescent="0.35">
      <c r="H10" s="2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7BE3C133BDA3408CE4FFE78B871CF4" ma:contentTypeVersion="18" ma:contentTypeDescription="Create a new document." ma:contentTypeScope="" ma:versionID="ef7fc6f19e59865a2f44c2e649af338f">
  <xsd:schema xmlns:xsd="http://www.w3.org/2001/XMLSchema" xmlns:xs="http://www.w3.org/2001/XMLSchema" xmlns:p="http://schemas.microsoft.com/office/2006/metadata/properties" xmlns:ns2="fde55dad-adb2-4777-9254-64af4217252e" xmlns:ns3="c4dbd672-458a-46f4-89d4-48fc562d8c99" targetNamespace="http://schemas.microsoft.com/office/2006/metadata/properties" ma:root="true" ma:fieldsID="683c5661c328364c3bbb392add748745" ns2:_="" ns3:_="">
    <xsd:import namespace="fde55dad-adb2-4777-9254-64af4217252e"/>
    <xsd:import namespace="c4dbd672-458a-46f4-89d4-48fc562d8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55dad-adb2-4777-9254-64af42172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1431703-3311-4b2c-82f4-f5756c7de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bd672-458a-46f4-89d4-48fc562d8c9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c46823d-2b14-4ee1-a253-9d276605b29d}" ma:internalName="TaxCatchAll" ma:showField="CatchAllData" ma:web="c4dbd672-458a-46f4-89d4-48fc562d8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e55dad-adb2-4777-9254-64af4217252e">
      <Terms xmlns="http://schemas.microsoft.com/office/infopath/2007/PartnerControls"/>
    </lcf76f155ced4ddcb4097134ff3c332f>
    <TaxCatchAll xmlns="c4dbd672-458a-46f4-89d4-48fc562d8c99" xsi:nil="true"/>
  </documentManagement>
</p:properties>
</file>

<file path=customXml/itemProps1.xml><?xml version="1.0" encoding="utf-8"?>
<ds:datastoreItem xmlns:ds="http://schemas.openxmlformats.org/officeDocument/2006/customXml" ds:itemID="{2CEC3E35-F463-4C7C-8B76-B9F61B414985}"/>
</file>

<file path=customXml/itemProps2.xml><?xml version="1.0" encoding="utf-8"?>
<ds:datastoreItem xmlns:ds="http://schemas.openxmlformats.org/officeDocument/2006/customXml" ds:itemID="{63D9CBFE-A74B-411C-B520-3E5B170C5C0D}"/>
</file>

<file path=customXml/itemProps3.xml><?xml version="1.0" encoding="utf-8"?>
<ds:datastoreItem xmlns:ds="http://schemas.openxmlformats.org/officeDocument/2006/customXml" ds:itemID="{F0890071-9D36-4927-B053-72CF55CB80B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Albachiara Boffelli</dc:creator>
  <cp:lastModifiedBy>Albachiara Boffelli</cp:lastModifiedBy>
  <dcterms:created xsi:type="dcterms:W3CDTF">2023-05-04T21:17:12Z</dcterms:created>
  <dcterms:modified xsi:type="dcterms:W3CDTF">2023-05-05T15:48:12Z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0x010100A27BE3C133BDA3408CE4FFE78B871CF4</vt:lpwstr>
  </property>
</Properties>
</file>