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.shortcut-targets-by-id\0B4ws1scEfsp2Y3FqSTh2d1B4VFE\Shared GSCM Group\Teaching\GASL 2023\Esercitazioni\Area Tematica 4 - Previsione domanda\"/>
    </mc:Choice>
  </mc:AlternateContent>
  <xr:revisionPtr revIDLastSave="0" documentId="13_ncr:1_{7D51A3F4-6EDC-45E5-AB56-FF589D0B416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4" i="1" l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E85" i="1" s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F85" i="1"/>
  <c r="C73" i="1"/>
  <c r="D73" i="1"/>
  <c r="E73" i="1"/>
  <c r="F73" i="1"/>
  <c r="G73" i="1"/>
  <c r="B73" i="1"/>
  <c r="B19" i="1"/>
  <c r="C68" i="1"/>
  <c r="G67" i="1"/>
  <c r="G68" i="1" s="1"/>
  <c r="F67" i="1"/>
  <c r="F68" i="1" s="1"/>
  <c r="E67" i="1"/>
  <c r="E68" i="1" s="1"/>
  <c r="D67" i="1"/>
  <c r="D68" i="1" s="1"/>
  <c r="C67" i="1"/>
  <c r="B68" i="1"/>
  <c r="B67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O50" i="1"/>
  <c r="N50" i="1"/>
  <c r="M50" i="1"/>
  <c r="L50" i="1"/>
  <c r="K50" i="1"/>
  <c r="J50" i="1"/>
  <c r="O49" i="1"/>
  <c r="N49" i="1"/>
  <c r="M49" i="1"/>
  <c r="L49" i="1"/>
  <c r="K49" i="1"/>
  <c r="J49" i="1"/>
  <c r="O47" i="1"/>
  <c r="N47" i="1"/>
  <c r="M47" i="1"/>
  <c r="L47" i="1"/>
  <c r="K47" i="1"/>
  <c r="J47" i="1"/>
  <c r="O46" i="1"/>
  <c r="N46" i="1"/>
  <c r="M46" i="1"/>
  <c r="L46" i="1"/>
  <c r="K46" i="1"/>
  <c r="J46" i="1"/>
  <c r="O45" i="1"/>
  <c r="N45" i="1"/>
  <c r="M45" i="1"/>
  <c r="L45" i="1"/>
  <c r="K45" i="1"/>
  <c r="J45" i="1"/>
  <c r="O44" i="1"/>
  <c r="N44" i="1"/>
  <c r="M44" i="1"/>
  <c r="L44" i="1"/>
  <c r="K44" i="1"/>
  <c r="J44" i="1"/>
  <c r="O43" i="1"/>
  <c r="N43" i="1"/>
  <c r="M43" i="1"/>
  <c r="L43" i="1"/>
  <c r="K43" i="1"/>
  <c r="J43" i="1"/>
  <c r="O42" i="1"/>
  <c r="N42" i="1"/>
  <c r="M42" i="1"/>
  <c r="L42" i="1"/>
  <c r="K42" i="1"/>
  <c r="J42" i="1"/>
  <c r="O41" i="1"/>
  <c r="N41" i="1"/>
  <c r="M41" i="1"/>
  <c r="L41" i="1"/>
  <c r="K41" i="1"/>
  <c r="J41" i="1"/>
  <c r="O40" i="1"/>
  <c r="N40" i="1"/>
  <c r="M40" i="1"/>
  <c r="L40" i="1"/>
  <c r="K40" i="1"/>
  <c r="J40" i="1"/>
  <c r="O39" i="1"/>
  <c r="N39" i="1"/>
  <c r="M39" i="1"/>
  <c r="L39" i="1"/>
  <c r="K39" i="1"/>
  <c r="J39" i="1"/>
  <c r="O38" i="1"/>
  <c r="N38" i="1"/>
  <c r="M38" i="1"/>
  <c r="L38" i="1"/>
  <c r="K38" i="1"/>
  <c r="J38" i="1"/>
  <c r="O37" i="1"/>
  <c r="N37" i="1"/>
  <c r="M37" i="1"/>
  <c r="L37" i="1"/>
  <c r="K37" i="1"/>
  <c r="J37" i="1"/>
  <c r="O36" i="1"/>
  <c r="N36" i="1"/>
  <c r="M36" i="1"/>
  <c r="L36" i="1"/>
  <c r="K36" i="1"/>
  <c r="J36" i="1"/>
  <c r="G50" i="1"/>
  <c r="F50" i="1"/>
  <c r="E50" i="1"/>
  <c r="D50" i="1"/>
  <c r="C50" i="1"/>
  <c r="B50" i="1"/>
  <c r="O15" i="1"/>
  <c r="N15" i="1"/>
  <c r="M15" i="1"/>
  <c r="L15" i="1"/>
  <c r="K15" i="1"/>
  <c r="J15" i="1"/>
  <c r="G49" i="1"/>
  <c r="F49" i="1"/>
  <c r="E49" i="1"/>
  <c r="D49" i="1"/>
  <c r="C49" i="1"/>
  <c r="B49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O32" i="1"/>
  <c r="N32" i="1"/>
  <c r="M32" i="1"/>
  <c r="L32" i="1"/>
  <c r="K32" i="1"/>
  <c r="J32" i="1"/>
  <c r="O30" i="1"/>
  <c r="N30" i="1"/>
  <c r="M30" i="1"/>
  <c r="L30" i="1"/>
  <c r="K30" i="1"/>
  <c r="J30" i="1"/>
  <c r="O29" i="1"/>
  <c r="N29" i="1"/>
  <c r="M29" i="1"/>
  <c r="L29" i="1"/>
  <c r="K29" i="1"/>
  <c r="J29" i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L26" i="1"/>
  <c r="K26" i="1"/>
  <c r="J26" i="1"/>
  <c r="O25" i="1"/>
  <c r="N25" i="1"/>
  <c r="M25" i="1"/>
  <c r="L25" i="1"/>
  <c r="K25" i="1"/>
  <c r="J25" i="1"/>
  <c r="O24" i="1"/>
  <c r="N24" i="1"/>
  <c r="M24" i="1"/>
  <c r="L24" i="1"/>
  <c r="K24" i="1"/>
  <c r="J24" i="1"/>
  <c r="O23" i="1"/>
  <c r="N23" i="1"/>
  <c r="M23" i="1"/>
  <c r="L23" i="1"/>
  <c r="K23" i="1"/>
  <c r="J23" i="1"/>
  <c r="O22" i="1"/>
  <c r="N22" i="1"/>
  <c r="M22" i="1"/>
  <c r="L22" i="1"/>
  <c r="K22" i="1"/>
  <c r="J22" i="1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C32" i="1"/>
  <c r="D32" i="1"/>
  <c r="E32" i="1"/>
  <c r="F32" i="1"/>
  <c r="G32" i="1"/>
  <c r="B32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B20" i="1"/>
  <c r="B21" i="1"/>
  <c r="B22" i="1"/>
  <c r="B23" i="1"/>
  <c r="B24" i="1"/>
  <c r="B25" i="1"/>
  <c r="B26" i="1"/>
  <c r="B27" i="1"/>
  <c r="B28" i="1"/>
  <c r="B29" i="1"/>
  <c r="B30" i="1"/>
  <c r="D85" i="1" l="1"/>
  <c r="C85" i="1"/>
  <c r="B85" i="1"/>
  <c r="G85" i="1"/>
</calcChain>
</file>

<file path=xl/sharedStrings.xml><?xml version="1.0" encoding="utf-8"?>
<sst xmlns="http://schemas.openxmlformats.org/spreadsheetml/2006/main" count="175" uniqueCount="49">
  <si>
    <t>Forecast</t>
  </si>
  <si>
    <t>Actual demand</t>
  </si>
  <si>
    <t>Product A</t>
  </si>
  <si>
    <t>Product B</t>
  </si>
  <si>
    <t>Product C</t>
  </si>
  <si>
    <t>Product D</t>
  </si>
  <si>
    <t>Product E</t>
  </si>
  <si>
    <t>Product F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</si>
  <si>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</si>
  <si>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</si>
  <si>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</si>
  <si>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</si>
  <si>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</si>
  <si>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</si>
  <si>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</si>
  <si>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</si>
  <si>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</si>
  <si>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</si>
  <si>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</si>
  <si>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</si>
  <si>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Ft</t>
  </si>
  <si>
    <t>Dt</t>
  </si>
  <si>
    <t>Errore</t>
  </si>
  <si>
    <t>Et</t>
  </si>
  <si>
    <t>=Ft-Dt</t>
  </si>
  <si>
    <t>BIAS</t>
  </si>
  <si>
    <t>|Errore|</t>
  </si>
  <si>
    <t>|Et|</t>
  </si>
  <si>
    <t>=|Ft-Dt|</t>
  </si>
  <si>
    <t>MAD</t>
  </si>
  <si>
    <t>Errore Perc.</t>
  </si>
  <si>
    <t>%Et</t>
  </si>
  <si>
    <t>=(Ft-Dt)/(Dt)</t>
  </si>
  <si>
    <t>MPE</t>
  </si>
  <si>
    <t>Dm</t>
  </si>
  <si>
    <t>BIAS%</t>
  </si>
  <si>
    <t>MAPE</t>
  </si>
  <si>
    <t>MAD%</t>
  </si>
  <si>
    <t>|Errore Perc.|</t>
  </si>
  <si>
    <t>|%Et|</t>
  </si>
  <si>
    <t>=|Ft-Dt|/Dt</t>
  </si>
  <si>
    <t>Et^2</t>
  </si>
  <si>
    <t>Errore^2</t>
  </si>
  <si>
    <t>MSE</t>
  </si>
  <si>
    <t>RMSE</t>
  </si>
  <si>
    <t>RAEt</t>
  </si>
  <si>
    <t>FRt=Dt-1</t>
  </si>
  <si>
    <t>=|Ft-Dt|/|Dt-1-Dt|</t>
  </si>
  <si>
    <t>MRAE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</si>
</sst>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10]mmm\-yy;@"/>
    <numFmt numFmtId="165" formatCode="#,##0_);\(#,##0\)"/>
    <numFmt numFmtId="166" formatCode="_-* #,##0.00\ _€_-;\-* #,##0.00\ _€_-;_-* &quot;-&quot;??\ _€_-;_-@_-"/>
    <numFmt numFmtId="167" formatCode="_-* #,##0\ _€_-;\-* #,##0\ _€_-;_-* &quot;-&quot;??\ _€_-;_-@_-"/>
  </numFmts>
  <fonts count="7" x14ac:knownFonts="1"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10"/>
      <name val="Helvetica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3" fillId="0" borderId="0" xfId="0" applyNumberFormat="1" applyFont="1"/>
    <xf numFmtId="164" fontId="0" fillId="0" borderId="0" xfId="0" quotePrefix="1" applyNumberFormat="1"/>
    <xf numFmtId="0" fontId="0" fillId="0" borderId="0" xfId="0" quotePrefix="1"/>
    <xf numFmtId="165" fontId="0" fillId="0" borderId="0" xfId="0" applyNumberFormat="1"/>
    <xf numFmtId="43" fontId="0" fillId="0" borderId="0" xfId="1" applyFont="1"/>
    <xf numFmtId="164" fontId="6" fillId="0" borderId="0" xfId="0" applyNumberFormat="1" applyFont="1"/>
    <xf numFmtId="43" fontId="6" fillId="0" borderId="0" xfId="0" applyNumberFormat="1" applyFont="1"/>
    <xf numFmtId="43" fontId="6" fillId="2" borderId="0" xfId="0" applyNumberFormat="1" applyFont="1" applyFill="1"/>
    <xf numFmtId="43" fontId="6" fillId="3" borderId="0" xfId="0" applyNumberFormat="1" applyFont="1" applyFill="1"/>
    <xf numFmtId="0" fontId="6" fillId="0" borderId="0" xfId="0" applyFont="1"/>
    <xf numFmtId="2" fontId="6" fillId="0" borderId="0" xfId="0" applyNumberFormat="1" applyFont="1"/>
    <xf numFmtId="2" fontId="6" fillId="2" borderId="0" xfId="0" applyNumberFormat="1" applyFont="1" applyFill="1"/>
    <xf numFmtId="2" fontId="6" fillId="3" borderId="0" xfId="0" applyNumberFormat="1" applyFont="1" applyFill="1"/>
    <xf numFmtId="9" fontId="0" fillId="0" borderId="0" xfId="2" applyFont="1"/>
    <xf numFmtId="9" fontId="6" fillId="0" borderId="0" xfId="0" applyNumberFormat="1" applyFont="1"/>
    <xf numFmtId="9" fontId="6" fillId="3" borderId="0" xfId="0" applyNumberFormat="1" applyFont="1" applyFill="1"/>
    <xf numFmtId="9" fontId="6" fillId="2" borderId="0" xfId="0" applyNumberFormat="1" applyFont="1" applyFill="1"/>
    <xf numFmtId="9" fontId="5" fillId="0" borderId="0" xfId="2" applyFont="1"/>
    <xf numFmtId="165" fontId="3" fillId="4" borderId="0" xfId="0" applyNumberFormat="1" applyFont="1" applyFill="1"/>
    <xf numFmtId="166" fontId="6" fillId="0" borderId="0" xfId="0" applyNumberFormat="1" applyFont="1"/>
    <xf numFmtId="9" fontId="6" fillId="0" borderId="0" xfId="2" applyFont="1"/>
    <xf numFmtId="9" fontId="6" fillId="2" borderId="0" xfId="2" applyFont="1" applyFill="1"/>
    <xf numFmtId="9" fontId="6" fillId="3" borderId="0" xfId="2" applyFont="1" applyFill="1"/>
    <xf numFmtId="166" fontId="6" fillId="3" borderId="0" xfId="0" applyNumberFormat="1" applyFont="1" applyFill="1"/>
    <xf numFmtId="166" fontId="6" fillId="2" borderId="0" xfId="0" applyNumberFormat="1" applyFont="1" applyFill="1"/>
    <xf numFmtId="0" fontId="0" fillId="4" borderId="0" xfId="0" applyFill="1"/>
    <xf numFmtId="167" fontId="0" fillId="0" borderId="0" xfId="0" applyNumberFormat="1"/>
    <xf numFmtId="43" fontId="0" fillId="4" borderId="0" xfId="1" applyFont="1" applyFill="1"/>
    <xf numFmtId="43" fontId="0" fillId="3" borderId="0" xfId="1" applyFont="1" applyFill="1"/>
    <xf numFmtId="43" fontId="0" fillId="5" borderId="0" xfId="1" applyFont="1" applyFill="1"/>
    <xf numFmtId="43" fontId="0" fillId="2" borderId="0" xfId="1" applyFont="1" applyFill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A68" zoomScale="90" zoomScaleNormal="90" workbookViewId="0">
      <selection activeCell="I79" sqref="I79"/>
    </sheetView>
  </sheetViews>
  <sheetFormatPr defaultColWidth="10.6640625" defaultRowHeight="15.5" x14ac:dyDescent="0.35"/>
  <cols>
    <col min="1" max="1" width="11.33203125" customWidth="1"/>
    <col min="2" max="2" width="11" bestFit="1" customWidth="1"/>
    <col min="3" max="3" width="16.58203125" bestFit="1" customWidth="1"/>
    <col min="4" max="4" width="12.33203125" customWidth="1"/>
    <col min="5" max="6" width="11" bestFit="1" customWidth="1"/>
  </cols>
  <sheetData>
    <row r="1" spans="1:15" x14ac:dyDescent="0.35">
      <c r="A1" s="1" t="s">
        <v>0</v>
      </c>
      <c r="B1" t="s">
        <v>20</v>
      </c>
      <c r="I1" s="1" t="s">
        <v>1</v>
      </c>
      <c r="K1" t="s">
        <v>21</v>
      </c>
    </row>
    <row r="2" spans="1:15" x14ac:dyDescent="0.35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x14ac:dyDescent="0.35">
      <c r="A3" s="3" t="s">
        <v>8</v>
      </c>
      <c r="B3" s="4">
        <v>531</v>
      </c>
      <c r="C3" s="4">
        <v>424</v>
      </c>
      <c r="D3" s="4">
        <v>516</v>
      </c>
      <c r="E3" s="4">
        <v>43</v>
      </c>
      <c r="F3" s="4">
        <v>157</v>
      </c>
      <c r="G3" s="4">
        <v>79</v>
      </c>
      <c r="I3" s="3" t="s">
        <v>8</v>
      </c>
      <c r="J3" s="4">
        <v>560</v>
      </c>
      <c r="K3" s="4">
        <v>470</v>
      </c>
      <c r="L3" s="4">
        <v>390</v>
      </c>
      <c r="M3" s="4">
        <v>50</v>
      </c>
      <c r="N3" s="4">
        <v>110</v>
      </c>
      <c r="O3" s="4">
        <v>98</v>
      </c>
    </row>
    <row r="4" spans="1:15" x14ac:dyDescent="0.35">
      <c r="A4" s="5" t="s">
        <v>9</v>
      </c>
      <c r="B4" s="4">
        <v>790</v>
      </c>
      <c r="C4" s="4">
        <v>635</v>
      </c>
      <c r="D4" s="4">
        <v>629</v>
      </c>
      <c r="E4" s="4">
        <v>49</v>
      </c>
      <c r="F4" s="4">
        <v>187</v>
      </c>
      <c r="G4" s="4">
        <v>93</v>
      </c>
      <c r="I4" s="5" t="s">
        <v>9</v>
      </c>
      <c r="J4" s="4">
        <v>833</v>
      </c>
      <c r="K4" s="4">
        <v>580</v>
      </c>
      <c r="L4" s="4">
        <v>480</v>
      </c>
      <c r="M4" s="22">
        <v>10</v>
      </c>
      <c r="N4" s="4">
        <v>250</v>
      </c>
      <c r="O4" s="4">
        <v>110</v>
      </c>
    </row>
    <row r="5" spans="1:15" x14ac:dyDescent="0.35">
      <c r="A5" s="5" t="s">
        <v>10</v>
      </c>
      <c r="B5" s="4">
        <v>909</v>
      </c>
      <c r="C5" s="4">
        <v>742</v>
      </c>
      <c r="D5" s="4">
        <v>727</v>
      </c>
      <c r="E5" s="4">
        <v>52</v>
      </c>
      <c r="F5" s="4">
        <v>194</v>
      </c>
      <c r="G5" s="4">
        <v>94</v>
      </c>
      <c r="I5" s="5" t="s">
        <v>10</v>
      </c>
      <c r="J5" s="4">
        <v>950</v>
      </c>
      <c r="K5" s="4">
        <v>810</v>
      </c>
      <c r="L5" s="4">
        <v>540</v>
      </c>
      <c r="M5" s="4">
        <v>45</v>
      </c>
      <c r="N5" s="4">
        <v>154</v>
      </c>
      <c r="O5" s="4">
        <v>115</v>
      </c>
    </row>
    <row r="6" spans="1:15" x14ac:dyDescent="0.35">
      <c r="A6" s="5" t="s">
        <v>11</v>
      </c>
      <c r="B6" s="4">
        <v>891</v>
      </c>
      <c r="C6" s="4">
        <v>750</v>
      </c>
      <c r="D6" s="4">
        <v>763</v>
      </c>
      <c r="E6" s="4">
        <v>59</v>
      </c>
      <c r="F6" s="4">
        <v>206</v>
      </c>
      <c r="G6" s="4">
        <v>100</v>
      </c>
      <c r="I6" s="5" t="s">
        <v>11</v>
      </c>
      <c r="J6" s="4">
        <v>938</v>
      </c>
      <c r="K6" s="4">
        <v>750</v>
      </c>
      <c r="L6" s="4">
        <v>580</v>
      </c>
      <c r="M6" s="4">
        <v>72</v>
      </c>
      <c r="N6" s="4">
        <v>226</v>
      </c>
      <c r="O6" s="4">
        <v>118</v>
      </c>
    </row>
    <row r="7" spans="1:15" x14ac:dyDescent="0.35">
      <c r="A7" s="5" t="s">
        <v>12</v>
      </c>
      <c r="B7" s="4">
        <v>900</v>
      </c>
      <c r="C7" s="4">
        <v>764</v>
      </c>
      <c r="D7" s="4">
        <v>793</v>
      </c>
      <c r="E7" s="4">
        <v>62</v>
      </c>
      <c r="F7" s="4">
        <v>222</v>
      </c>
      <c r="G7" s="4">
        <v>99</v>
      </c>
      <c r="I7" s="5" t="s">
        <v>12</v>
      </c>
      <c r="J7" s="4">
        <v>899</v>
      </c>
      <c r="K7" s="4">
        <v>767</v>
      </c>
      <c r="L7" s="4">
        <v>630</v>
      </c>
      <c r="M7" s="4">
        <v>44</v>
      </c>
      <c r="N7" s="4">
        <v>190</v>
      </c>
      <c r="O7" s="4">
        <v>120</v>
      </c>
    </row>
    <row r="8" spans="1:15" x14ac:dyDescent="0.35">
      <c r="A8" s="5" t="s">
        <v>13</v>
      </c>
      <c r="B8" s="4">
        <v>900</v>
      </c>
      <c r="C8" s="4">
        <v>761</v>
      </c>
      <c r="D8" s="4">
        <v>794</v>
      </c>
      <c r="E8" s="4">
        <v>62</v>
      </c>
      <c r="F8" s="4">
        <v>215</v>
      </c>
      <c r="G8" s="4">
        <v>100</v>
      </c>
      <c r="I8" s="5" t="s">
        <v>13</v>
      </c>
      <c r="J8" s="4">
        <v>947</v>
      </c>
      <c r="K8" s="4">
        <v>690</v>
      </c>
      <c r="L8" s="4">
        <v>720</v>
      </c>
      <c r="M8" s="22">
        <v>14</v>
      </c>
      <c r="N8" s="4">
        <v>262</v>
      </c>
      <c r="O8" s="4">
        <v>122</v>
      </c>
    </row>
    <row r="9" spans="1:15" x14ac:dyDescent="0.35">
      <c r="A9" s="5" t="s">
        <v>14</v>
      </c>
      <c r="B9" s="4">
        <v>915</v>
      </c>
      <c r="C9" s="4">
        <v>765</v>
      </c>
      <c r="D9" s="4">
        <v>792</v>
      </c>
      <c r="E9" s="4">
        <v>59</v>
      </c>
      <c r="F9" s="4">
        <v>202</v>
      </c>
      <c r="G9" s="4">
        <v>93</v>
      </c>
      <c r="I9" s="5" t="s">
        <v>14</v>
      </c>
      <c r="J9" s="4">
        <v>953</v>
      </c>
      <c r="K9" s="4">
        <v>840</v>
      </c>
      <c r="L9" s="4">
        <v>589</v>
      </c>
      <c r="M9" s="4">
        <v>60</v>
      </c>
      <c r="N9" s="4">
        <v>142</v>
      </c>
      <c r="O9" s="4">
        <v>110</v>
      </c>
    </row>
    <row r="10" spans="1:15" x14ac:dyDescent="0.35">
      <c r="A10" s="5" t="s">
        <v>15</v>
      </c>
      <c r="B10" s="4">
        <v>322</v>
      </c>
      <c r="C10" s="4">
        <v>293</v>
      </c>
      <c r="D10" s="4">
        <v>408</v>
      </c>
      <c r="E10" s="4">
        <v>34</v>
      </c>
      <c r="F10" s="4">
        <v>121</v>
      </c>
      <c r="G10" s="4">
        <v>45</v>
      </c>
      <c r="I10" s="5" t="s">
        <v>15</v>
      </c>
      <c r="J10" s="4">
        <v>318</v>
      </c>
      <c r="K10" s="4">
        <v>260</v>
      </c>
      <c r="L10" s="4">
        <v>270</v>
      </c>
      <c r="M10" s="4">
        <v>36</v>
      </c>
      <c r="N10" s="4">
        <v>164</v>
      </c>
      <c r="O10" s="4">
        <v>55</v>
      </c>
    </row>
    <row r="11" spans="1:15" x14ac:dyDescent="0.35">
      <c r="A11" s="5" t="s">
        <v>16</v>
      </c>
      <c r="B11" s="4">
        <v>790</v>
      </c>
      <c r="C11" s="4">
        <v>679</v>
      </c>
      <c r="D11" s="4">
        <v>728</v>
      </c>
      <c r="E11" s="4">
        <v>56</v>
      </c>
      <c r="F11" s="4">
        <v>196</v>
      </c>
      <c r="G11" s="4">
        <v>93</v>
      </c>
      <c r="I11" s="5" t="s">
        <v>16</v>
      </c>
      <c r="J11" s="4">
        <v>817</v>
      </c>
      <c r="K11" s="4">
        <v>757</v>
      </c>
      <c r="L11" s="4">
        <v>730</v>
      </c>
      <c r="M11" s="4">
        <v>66</v>
      </c>
      <c r="N11" s="4">
        <v>157</v>
      </c>
      <c r="O11" s="4">
        <v>110</v>
      </c>
    </row>
    <row r="12" spans="1:15" x14ac:dyDescent="0.35">
      <c r="A12" s="5" t="s">
        <v>17</v>
      </c>
      <c r="B12" s="4">
        <v>816</v>
      </c>
      <c r="C12" s="4">
        <v>689</v>
      </c>
      <c r="D12" s="4">
        <v>753</v>
      </c>
      <c r="E12" s="4">
        <v>58</v>
      </c>
      <c r="F12" s="4">
        <v>207</v>
      </c>
      <c r="G12" s="4">
        <v>95</v>
      </c>
      <c r="I12" s="5" t="s">
        <v>17</v>
      </c>
      <c r="J12" s="4">
        <v>863</v>
      </c>
      <c r="K12" s="4">
        <v>615</v>
      </c>
      <c r="L12" s="4">
        <v>730</v>
      </c>
      <c r="M12" s="4">
        <v>48</v>
      </c>
      <c r="N12" s="4">
        <v>225</v>
      </c>
      <c r="O12" s="4">
        <v>115</v>
      </c>
    </row>
    <row r="13" spans="1:15" x14ac:dyDescent="0.35">
      <c r="A13" s="5" t="s">
        <v>18</v>
      </c>
      <c r="B13" s="4">
        <v>759</v>
      </c>
      <c r="C13" s="4">
        <v>600</v>
      </c>
      <c r="D13" s="4">
        <v>677</v>
      </c>
      <c r="E13" s="4">
        <v>54</v>
      </c>
      <c r="F13" s="4">
        <v>192</v>
      </c>
      <c r="G13" s="4">
        <v>86</v>
      </c>
      <c r="I13" s="5" t="s">
        <v>18</v>
      </c>
      <c r="J13" s="4">
        <v>770</v>
      </c>
      <c r="K13" s="4">
        <v>650</v>
      </c>
      <c r="L13" s="4">
        <v>515</v>
      </c>
      <c r="M13" s="4">
        <v>55</v>
      </c>
      <c r="N13" s="4">
        <v>162</v>
      </c>
      <c r="O13" s="4">
        <v>104</v>
      </c>
    </row>
    <row r="14" spans="1:15" x14ac:dyDescent="0.35">
      <c r="A14" s="5" t="s">
        <v>19</v>
      </c>
      <c r="B14" s="4">
        <v>494</v>
      </c>
      <c r="C14" s="4">
        <v>371</v>
      </c>
      <c r="D14" s="4">
        <v>477</v>
      </c>
      <c r="E14" s="4">
        <v>39</v>
      </c>
      <c r="F14" s="4">
        <v>141</v>
      </c>
      <c r="G14" s="4">
        <v>60</v>
      </c>
      <c r="I14" s="5" t="s">
        <v>19</v>
      </c>
      <c r="J14" s="4">
        <v>480</v>
      </c>
      <c r="K14" s="4">
        <v>330</v>
      </c>
      <c r="L14" s="4">
        <v>410</v>
      </c>
      <c r="M14" s="4">
        <v>49</v>
      </c>
      <c r="N14" s="4">
        <v>164</v>
      </c>
      <c r="O14" s="4">
        <v>77</v>
      </c>
    </row>
    <row r="15" spans="1:15" x14ac:dyDescent="0.35">
      <c r="I15" s="3" t="s">
        <v>34</v>
      </c>
      <c r="J15" s="7">
        <f>AVERAGE(J3:J14)</f>
        <v>777.33333333333337</v>
      </c>
      <c r="K15" s="7">
        <f t="shared" ref="K15:O15" si="0">AVERAGE(K3:K14)</f>
        <v>626.58333333333337</v>
      </c>
      <c r="L15" s="7">
        <f t="shared" si="0"/>
        <v>548.66666666666663</v>
      </c>
      <c r="M15" s="7">
        <f t="shared" si="0"/>
        <v>45.75</v>
      </c>
      <c r="N15" s="7">
        <f t="shared" si="0"/>
        <v>183.83333333333334</v>
      </c>
      <c r="O15" s="7">
        <f t="shared" si="0"/>
        <v>104.5</v>
      </c>
    </row>
    <row r="17" spans="1:15" x14ac:dyDescent="0.35">
      <c r="A17" s="3" t="s">
        <v>22</v>
      </c>
      <c r="B17" t="s">
        <v>23</v>
      </c>
      <c r="C17" s="6" t="s">
        <v>24</v>
      </c>
      <c r="I17" s="3" t="s">
        <v>26</v>
      </c>
      <c r="J17" t="s">
        <v>27</v>
      </c>
      <c r="K17" s="6" t="s">
        <v>28</v>
      </c>
    </row>
    <row r="18" spans="1:15" x14ac:dyDescent="0.35"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J18" s="2" t="s">
        <v>2</v>
      </c>
      <c r="K18" s="2" t="s">
        <v>3</v>
      </c>
      <c r="L18" s="2" t="s">
        <v>4</v>
      </c>
      <c r="M18" s="2" t="s">
        <v>5</v>
      </c>
      <c r="N18" s="2" t="s">
        <v>6</v>
      </c>
      <c r="O18" s="2" t="s">
        <v>7</v>
      </c>
    </row>
    <row r="19" spans="1:15" x14ac:dyDescent="0.35">
      <c r="A19" s="3" t="s">
        <v>8</v>
      </c>
      <c r="B19" s="8">
        <f>B3-J3</f>
        <v>-29</v>
      </c>
      <c r="C19" s="8">
        <f t="shared" ref="C19:G30" si="1">C3-K3</f>
        <v>-46</v>
      </c>
      <c r="D19" s="8">
        <f t="shared" si="1"/>
        <v>126</v>
      </c>
      <c r="E19" s="8">
        <f t="shared" si="1"/>
        <v>-7</v>
      </c>
      <c r="F19" s="8">
        <f t="shared" si="1"/>
        <v>47</v>
      </c>
      <c r="G19" s="8">
        <f t="shared" si="1"/>
        <v>-19</v>
      </c>
      <c r="I19" s="3" t="s">
        <v>8</v>
      </c>
      <c r="J19">
        <f>ABS(B19)</f>
        <v>29</v>
      </c>
      <c r="K19">
        <f t="shared" ref="K19:K30" si="2">ABS(C19)</f>
        <v>46</v>
      </c>
      <c r="L19">
        <f t="shared" ref="L19:L30" si="3">ABS(D19)</f>
        <v>126</v>
      </c>
      <c r="M19">
        <f t="shared" ref="M19:M30" si="4">ABS(E19)</f>
        <v>7</v>
      </c>
      <c r="N19">
        <f t="shared" ref="N19:N30" si="5">ABS(F19)</f>
        <v>47</v>
      </c>
      <c r="O19">
        <f t="shared" ref="O19:O30" si="6">ABS(G19)</f>
        <v>19</v>
      </c>
    </row>
    <row r="20" spans="1:15" x14ac:dyDescent="0.35">
      <c r="A20" s="5" t="s">
        <v>9</v>
      </c>
      <c r="B20" s="8">
        <f t="shared" ref="B20:B30" si="7">B4-J4</f>
        <v>-43</v>
      </c>
      <c r="C20" s="8">
        <f t="shared" si="1"/>
        <v>55</v>
      </c>
      <c r="D20" s="8">
        <f t="shared" si="1"/>
        <v>149</v>
      </c>
      <c r="E20" s="8">
        <f t="shared" si="1"/>
        <v>39</v>
      </c>
      <c r="F20" s="8">
        <f t="shared" si="1"/>
        <v>-63</v>
      </c>
      <c r="G20" s="8">
        <f t="shared" si="1"/>
        <v>-17</v>
      </c>
      <c r="I20" s="5" t="s">
        <v>9</v>
      </c>
      <c r="J20">
        <f t="shared" ref="J20:J30" si="8">ABS(B20)</f>
        <v>43</v>
      </c>
      <c r="K20">
        <f t="shared" si="2"/>
        <v>55</v>
      </c>
      <c r="L20">
        <f t="shared" si="3"/>
        <v>149</v>
      </c>
      <c r="M20">
        <f t="shared" si="4"/>
        <v>39</v>
      </c>
      <c r="N20">
        <f t="shared" si="5"/>
        <v>63</v>
      </c>
      <c r="O20">
        <f t="shared" si="6"/>
        <v>17</v>
      </c>
    </row>
    <row r="21" spans="1:15" x14ac:dyDescent="0.35">
      <c r="A21" s="5" t="s">
        <v>10</v>
      </c>
      <c r="B21" s="8">
        <f t="shared" si="7"/>
        <v>-41</v>
      </c>
      <c r="C21" s="8">
        <f t="shared" si="1"/>
        <v>-68</v>
      </c>
      <c r="D21" s="8">
        <f t="shared" si="1"/>
        <v>187</v>
      </c>
      <c r="E21" s="8">
        <f t="shared" si="1"/>
        <v>7</v>
      </c>
      <c r="F21" s="8">
        <f t="shared" si="1"/>
        <v>40</v>
      </c>
      <c r="G21" s="8">
        <f t="shared" si="1"/>
        <v>-21</v>
      </c>
      <c r="I21" s="5" t="s">
        <v>10</v>
      </c>
      <c r="J21">
        <f t="shared" si="8"/>
        <v>41</v>
      </c>
      <c r="K21">
        <f t="shared" si="2"/>
        <v>68</v>
      </c>
      <c r="L21">
        <f t="shared" si="3"/>
        <v>187</v>
      </c>
      <c r="M21">
        <f t="shared" si="4"/>
        <v>7</v>
      </c>
      <c r="N21">
        <f t="shared" si="5"/>
        <v>40</v>
      </c>
      <c r="O21">
        <f t="shared" si="6"/>
        <v>21</v>
      </c>
    </row>
    <row r="22" spans="1:15" x14ac:dyDescent="0.35">
      <c r="A22" s="5" t="s">
        <v>11</v>
      </c>
      <c r="B22" s="8">
        <f t="shared" si="7"/>
        <v>-47</v>
      </c>
      <c r="C22" s="8">
        <f t="shared" si="1"/>
        <v>0</v>
      </c>
      <c r="D22" s="8">
        <f t="shared" si="1"/>
        <v>183</v>
      </c>
      <c r="E22" s="8">
        <f t="shared" si="1"/>
        <v>-13</v>
      </c>
      <c r="F22" s="8">
        <f t="shared" si="1"/>
        <v>-20</v>
      </c>
      <c r="G22" s="8">
        <f t="shared" si="1"/>
        <v>-18</v>
      </c>
      <c r="I22" s="5" t="s">
        <v>11</v>
      </c>
      <c r="J22">
        <f t="shared" si="8"/>
        <v>47</v>
      </c>
      <c r="K22">
        <f t="shared" si="2"/>
        <v>0</v>
      </c>
      <c r="L22">
        <f t="shared" si="3"/>
        <v>183</v>
      </c>
      <c r="M22">
        <f t="shared" si="4"/>
        <v>13</v>
      </c>
      <c r="N22">
        <f t="shared" si="5"/>
        <v>20</v>
      </c>
      <c r="O22">
        <f t="shared" si="6"/>
        <v>18</v>
      </c>
    </row>
    <row r="23" spans="1:15" x14ac:dyDescent="0.35">
      <c r="A23" s="5" t="s">
        <v>12</v>
      </c>
      <c r="B23" s="8">
        <f t="shared" si="7"/>
        <v>1</v>
      </c>
      <c r="C23" s="8">
        <f t="shared" si="1"/>
        <v>-3</v>
      </c>
      <c r="D23" s="8">
        <f t="shared" si="1"/>
        <v>163</v>
      </c>
      <c r="E23" s="8">
        <f t="shared" si="1"/>
        <v>18</v>
      </c>
      <c r="F23" s="8">
        <f t="shared" si="1"/>
        <v>32</v>
      </c>
      <c r="G23" s="8">
        <f t="shared" si="1"/>
        <v>-21</v>
      </c>
      <c r="I23" s="5" t="s">
        <v>12</v>
      </c>
      <c r="J23">
        <f t="shared" si="8"/>
        <v>1</v>
      </c>
      <c r="K23">
        <f t="shared" si="2"/>
        <v>3</v>
      </c>
      <c r="L23">
        <f t="shared" si="3"/>
        <v>163</v>
      </c>
      <c r="M23">
        <f t="shared" si="4"/>
        <v>18</v>
      </c>
      <c r="N23">
        <f t="shared" si="5"/>
        <v>32</v>
      </c>
      <c r="O23">
        <f t="shared" si="6"/>
        <v>21</v>
      </c>
    </row>
    <row r="24" spans="1:15" x14ac:dyDescent="0.35">
      <c r="A24" s="5" t="s">
        <v>13</v>
      </c>
      <c r="B24" s="8">
        <f t="shared" si="7"/>
        <v>-47</v>
      </c>
      <c r="C24" s="8">
        <f t="shared" si="1"/>
        <v>71</v>
      </c>
      <c r="D24" s="8">
        <f t="shared" si="1"/>
        <v>74</v>
      </c>
      <c r="E24" s="8">
        <f t="shared" si="1"/>
        <v>48</v>
      </c>
      <c r="F24" s="8">
        <f t="shared" si="1"/>
        <v>-47</v>
      </c>
      <c r="G24" s="8">
        <f t="shared" si="1"/>
        <v>-22</v>
      </c>
      <c r="I24" s="5" t="s">
        <v>13</v>
      </c>
      <c r="J24">
        <f t="shared" si="8"/>
        <v>47</v>
      </c>
      <c r="K24">
        <f t="shared" si="2"/>
        <v>71</v>
      </c>
      <c r="L24">
        <f t="shared" si="3"/>
        <v>74</v>
      </c>
      <c r="M24">
        <f t="shared" si="4"/>
        <v>48</v>
      </c>
      <c r="N24">
        <f t="shared" si="5"/>
        <v>47</v>
      </c>
      <c r="O24">
        <f t="shared" si="6"/>
        <v>22</v>
      </c>
    </row>
    <row r="25" spans="1:15" x14ac:dyDescent="0.35">
      <c r="A25" s="5" t="s">
        <v>14</v>
      </c>
      <c r="B25" s="8">
        <f t="shared" si="7"/>
        <v>-38</v>
      </c>
      <c r="C25" s="8">
        <f t="shared" si="1"/>
        <v>-75</v>
      </c>
      <c r="D25" s="8">
        <f t="shared" si="1"/>
        <v>203</v>
      </c>
      <c r="E25" s="8">
        <f t="shared" si="1"/>
        <v>-1</v>
      </c>
      <c r="F25" s="8">
        <f t="shared" si="1"/>
        <v>60</v>
      </c>
      <c r="G25" s="8">
        <f t="shared" si="1"/>
        <v>-17</v>
      </c>
      <c r="I25" s="5" t="s">
        <v>14</v>
      </c>
      <c r="J25">
        <f t="shared" si="8"/>
        <v>38</v>
      </c>
      <c r="K25">
        <f t="shared" si="2"/>
        <v>75</v>
      </c>
      <c r="L25">
        <f t="shared" si="3"/>
        <v>203</v>
      </c>
      <c r="M25">
        <f t="shared" si="4"/>
        <v>1</v>
      </c>
      <c r="N25">
        <f t="shared" si="5"/>
        <v>60</v>
      </c>
      <c r="O25">
        <f t="shared" si="6"/>
        <v>17</v>
      </c>
    </row>
    <row r="26" spans="1:15" x14ac:dyDescent="0.35">
      <c r="A26" s="5" t="s">
        <v>15</v>
      </c>
      <c r="B26" s="8">
        <f t="shared" si="7"/>
        <v>4</v>
      </c>
      <c r="C26" s="8">
        <f t="shared" si="1"/>
        <v>33</v>
      </c>
      <c r="D26" s="8">
        <f t="shared" si="1"/>
        <v>138</v>
      </c>
      <c r="E26" s="8">
        <f t="shared" si="1"/>
        <v>-2</v>
      </c>
      <c r="F26" s="8">
        <f t="shared" si="1"/>
        <v>-43</v>
      </c>
      <c r="G26" s="8">
        <f t="shared" si="1"/>
        <v>-10</v>
      </c>
      <c r="I26" s="5" t="s">
        <v>15</v>
      </c>
      <c r="J26">
        <f t="shared" si="8"/>
        <v>4</v>
      </c>
      <c r="K26">
        <f t="shared" si="2"/>
        <v>33</v>
      </c>
      <c r="L26">
        <f t="shared" si="3"/>
        <v>138</v>
      </c>
      <c r="M26">
        <f t="shared" si="4"/>
        <v>2</v>
      </c>
      <c r="N26">
        <f t="shared" si="5"/>
        <v>43</v>
      </c>
      <c r="O26">
        <f t="shared" si="6"/>
        <v>10</v>
      </c>
    </row>
    <row r="27" spans="1:15" x14ac:dyDescent="0.35">
      <c r="A27" s="5" t="s">
        <v>16</v>
      </c>
      <c r="B27" s="8">
        <f t="shared" si="7"/>
        <v>-27</v>
      </c>
      <c r="C27" s="8">
        <f t="shared" si="1"/>
        <v>-78</v>
      </c>
      <c r="D27" s="8">
        <f t="shared" si="1"/>
        <v>-2</v>
      </c>
      <c r="E27" s="8">
        <f t="shared" si="1"/>
        <v>-10</v>
      </c>
      <c r="F27" s="8">
        <f t="shared" si="1"/>
        <v>39</v>
      </c>
      <c r="G27" s="8">
        <f t="shared" si="1"/>
        <v>-17</v>
      </c>
      <c r="I27" s="5" t="s">
        <v>16</v>
      </c>
      <c r="J27">
        <f t="shared" si="8"/>
        <v>27</v>
      </c>
      <c r="K27">
        <f t="shared" si="2"/>
        <v>78</v>
      </c>
      <c r="L27">
        <f t="shared" si="3"/>
        <v>2</v>
      </c>
      <c r="M27">
        <f t="shared" si="4"/>
        <v>10</v>
      </c>
      <c r="N27">
        <f t="shared" si="5"/>
        <v>39</v>
      </c>
      <c r="O27">
        <f t="shared" si="6"/>
        <v>17</v>
      </c>
    </row>
    <row r="28" spans="1:15" x14ac:dyDescent="0.35">
      <c r="A28" s="5" t="s">
        <v>17</v>
      </c>
      <c r="B28" s="8">
        <f t="shared" si="7"/>
        <v>-47</v>
      </c>
      <c r="C28" s="8">
        <f t="shared" si="1"/>
        <v>74</v>
      </c>
      <c r="D28" s="8">
        <f t="shared" si="1"/>
        <v>23</v>
      </c>
      <c r="E28" s="8">
        <f t="shared" si="1"/>
        <v>10</v>
      </c>
      <c r="F28" s="8">
        <f t="shared" si="1"/>
        <v>-18</v>
      </c>
      <c r="G28" s="8">
        <f t="shared" si="1"/>
        <v>-20</v>
      </c>
      <c r="I28" s="5" t="s">
        <v>17</v>
      </c>
      <c r="J28">
        <f t="shared" si="8"/>
        <v>47</v>
      </c>
      <c r="K28">
        <f t="shared" si="2"/>
        <v>74</v>
      </c>
      <c r="L28">
        <f t="shared" si="3"/>
        <v>23</v>
      </c>
      <c r="M28">
        <f t="shared" si="4"/>
        <v>10</v>
      </c>
      <c r="N28">
        <f t="shared" si="5"/>
        <v>18</v>
      </c>
      <c r="O28">
        <f t="shared" si="6"/>
        <v>20</v>
      </c>
    </row>
    <row r="29" spans="1:15" x14ac:dyDescent="0.35">
      <c r="A29" s="5" t="s">
        <v>18</v>
      </c>
      <c r="B29" s="8">
        <f t="shared" si="7"/>
        <v>-11</v>
      </c>
      <c r="C29" s="8">
        <f t="shared" si="1"/>
        <v>-50</v>
      </c>
      <c r="D29" s="8">
        <f t="shared" si="1"/>
        <v>162</v>
      </c>
      <c r="E29" s="8">
        <f t="shared" si="1"/>
        <v>-1</v>
      </c>
      <c r="F29" s="8">
        <f t="shared" si="1"/>
        <v>30</v>
      </c>
      <c r="G29" s="8">
        <f t="shared" si="1"/>
        <v>-18</v>
      </c>
      <c r="I29" s="5" t="s">
        <v>18</v>
      </c>
      <c r="J29">
        <f t="shared" si="8"/>
        <v>11</v>
      </c>
      <c r="K29">
        <f t="shared" si="2"/>
        <v>50</v>
      </c>
      <c r="L29">
        <f t="shared" si="3"/>
        <v>162</v>
      </c>
      <c r="M29">
        <f t="shared" si="4"/>
        <v>1</v>
      </c>
      <c r="N29">
        <f t="shared" si="5"/>
        <v>30</v>
      </c>
      <c r="O29">
        <f t="shared" si="6"/>
        <v>18</v>
      </c>
    </row>
    <row r="30" spans="1:15" x14ac:dyDescent="0.35">
      <c r="A30" s="5" t="s">
        <v>19</v>
      </c>
      <c r="B30" s="8">
        <f t="shared" si="7"/>
        <v>14</v>
      </c>
      <c r="C30" s="8">
        <f t="shared" si="1"/>
        <v>41</v>
      </c>
      <c r="D30" s="8">
        <f t="shared" si="1"/>
        <v>67</v>
      </c>
      <c r="E30" s="8">
        <f t="shared" si="1"/>
        <v>-10</v>
      </c>
      <c r="F30" s="8">
        <f t="shared" si="1"/>
        <v>-23</v>
      </c>
      <c r="G30" s="8">
        <f t="shared" si="1"/>
        <v>-17</v>
      </c>
      <c r="I30" s="5" t="s">
        <v>19</v>
      </c>
      <c r="J30">
        <f t="shared" si="8"/>
        <v>14</v>
      </c>
      <c r="K30">
        <f t="shared" si="2"/>
        <v>41</v>
      </c>
      <c r="L30">
        <f t="shared" si="3"/>
        <v>67</v>
      </c>
      <c r="M30">
        <f t="shared" si="4"/>
        <v>10</v>
      </c>
      <c r="N30">
        <f t="shared" si="5"/>
        <v>23</v>
      </c>
      <c r="O30">
        <f t="shared" si="6"/>
        <v>17</v>
      </c>
    </row>
    <row r="32" spans="1:15" s="13" customFormat="1" x14ac:dyDescent="0.35">
      <c r="A32" s="9" t="s">
        <v>25</v>
      </c>
      <c r="B32" s="10">
        <f>AVERAGE(B19:B30)</f>
        <v>-25.916666666666668</v>
      </c>
      <c r="C32" s="10">
        <f t="shared" ref="C32:G32" si="9">AVERAGE(C19:C30)</f>
        <v>-3.8333333333333335</v>
      </c>
      <c r="D32" s="11">
        <f t="shared" si="9"/>
        <v>122.75</v>
      </c>
      <c r="E32" s="10">
        <f t="shared" si="9"/>
        <v>6.5</v>
      </c>
      <c r="F32" s="12">
        <f t="shared" si="9"/>
        <v>2.8333333333333335</v>
      </c>
      <c r="G32" s="10">
        <f t="shared" si="9"/>
        <v>-18.083333333333332</v>
      </c>
      <c r="I32" s="9" t="s">
        <v>29</v>
      </c>
      <c r="J32" s="14">
        <f>AVERAGE(J19:J30)</f>
        <v>29.083333333333332</v>
      </c>
      <c r="K32" s="14">
        <f t="shared" ref="K32:O32" si="10">AVERAGE(K19:K30)</f>
        <v>49.5</v>
      </c>
      <c r="L32" s="15">
        <f t="shared" si="10"/>
        <v>123.08333333333333</v>
      </c>
      <c r="M32" s="16">
        <f t="shared" si="10"/>
        <v>13.833333333333334</v>
      </c>
      <c r="N32" s="14">
        <f t="shared" si="10"/>
        <v>38.5</v>
      </c>
      <c r="O32" s="14">
        <f t="shared" si="10"/>
        <v>18.083333333333332</v>
      </c>
    </row>
    <row r="34" spans="1:15" x14ac:dyDescent="0.35">
      <c r="A34" t="s">
        <v>30</v>
      </c>
      <c r="B34" t="s">
        <v>31</v>
      </c>
      <c r="C34" s="6" t="s">
        <v>32</v>
      </c>
      <c r="I34" t="s">
        <v>38</v>
      </c>
      <c r="J34" t="s">
        <v>39</v>
      </c>
      <c r="K34" s="6" t="s">
        <v>40</v>
      </c>
    </row>
    <row r="35" spans="1:15" x14ac:dyDescent="0.35"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  <c r="G35" s="2" t="s">
        <v>7</v>
      </c>
      <c r="J35" s="2" t="s">
        <v>2</v>
      </c>
      <c r="K35" s="2" t="s">
        <v>3</v>
      </c>
      <c r="L35" s="2" t="s">
        <v>4</v>
      </c>
      <c r="M35" s="2" t="s">
        <v>5</v>
      </c>
      <c r="N35" s="2" t="s">
        <v>6</v>
      </c>
      <c r="O35" s="2" t="s">
        <v>7</v>
      </c>
    </row>
    <row r="36" spans="1:15" x14ac:dyDescent="0.35">
      <c r="A36" s="3" t="s">
        <v>8</v>
      </c>
      <c r="B36" s="17">
        <f>B19/J3</f>
        <v>-5.1785714285714289E-2</v>
      </c>
      <c r="C36" s="17">
        <f t="shared" ref="C36:G36" si="11">C19/K3</f>
        <v>-9.7872340425531917E-2</v>
      </c>
      <c r="D36" s="17">
        <f t="shared" si="11"/>
        <v>0.32307692307692309</v>
      </c>
      <c r="E36" s="17">
        <f t="shared" si="11"/>
        <v>-0.14000000000000001</v>
      </c>
      <c r="F36" s="17">
        <f t="shared" si="11"/>
        <v>0.42727272727272725</v>
      </c>
      <c r="G36" s="17">
        <f t="shared" si="11"/>
        <v>-0.19387755102040816</v>
      </c>
      <c r="I36" s="3" t="s">
        <v>8</v>
      </c>
      <c r="J36" s="17">
        <f>ABS(B36)</f>
        <v>5.1785714285714289E-2</v>
      </c>
      <c r="K36" s="17">
        <f t="shared" ref="K36:K47" si="12">ABS(C36)</f>
        <v>9.7872340425531917E-2</v>
      </c>
      <c r="L36" s="17">
        <f t="shared" ref="L36:L47" si="13">ABS(D36)</f>
        <v>0.32307692307692309</v>
      </c>
      <c r="M36" s="17">
        <f t="shared" ref="M36:M47" si="14">ABS(E36)</f>
        <v>0.14000000000000001</v>
      </c>
      <c r="N36" s="17">
        <f t="shared" ref="N36:N47" si="15">ABS(F36)</f>
        <v>0.42727272727272725</v>
      </c>
      <c r="O36" s="17">
        <f t="shared" ref="O36:O47" si="16">ABS(G36)</f>
        <v>0.19387755102040816</v>
      </c>
    </row>
    <row r="37" spans="1:15" x14ac:dyDescent="0.35">
      <c r="A37" s="5" t="s">
        <v>9</v>
      </c>
      <c r="B37" s="17">
        <f t="shared" ref="B37:G37" si="17">B20/J4</f>
        <v>-5.1620648259303722E-2</v>
      </c>
      <c r="C37" s="17">
        <f t="shared" si="17"/>
        <v>9.4827586206896547E-2</v>
      </c>
      <c r="D37" s="17">
        <f t="shared" si="17"/>
        <v>0.31041666666666667</v>
      </c>
      <c r="E37" s="21">
        <f t="shared" si="17"/>
        <v>3.9</v>
      </c>
      <c r="F37" s="17">
        <f t="shared" si="17"/>
        <v>-0.252</v>
      </c>
      <c r="G37" s="17">
        <f t="shared" si="17"/>
        <v>-0.15454545454545454</v>
      </c>
      <c r="I37" s="5" t="s">
        <v>9</v>
      </c>
      <c r="J37" s="17">
        <f t="shared" ref="J37:J47" si="18">ABS(B37)</f>
        <v>5.1620648259303722E-2</v>
      </c>
      <c r="K37" s="17">
        <f t="shared" si="12"/>
        <v>9.4827586206896547E-2</v>
      </c>
      <c r="L37" s="17">
        <f t="shared" si="13"/>
        <v>0.31041666666666667</v>
      </c>
      <c r="M37" s="21">
        <f t="shared" si="14"/>
        <v>3.9</v>
      </c>
      <c r="N37" s="17">
        <f t="shared" si="15"/>
        <v>0.252</v>
      </c>
      <c r="O37" s="17">
        <f t="shared" si="16"/>
        <v>0.15454545454545454</v>
      </c>
    </row>
    <row r="38" spans="1:15" x14ac:dyDescent="0.35">
      <c r="A38" s="5" t="s">
        <v>10</v>
      </c>
      <c r="B38" s="17">
        <f t="shared" ref="B38:G38" si="19">B21/J5</f>
        <v>-4.3157894736842103E-2</v>
      </c>
      <c r="C38" s="17">
        <f t="shared" si="19"/>
        <v>-8.3950617283950618E-2</v>
      </c>
      <c r="D38" s="17">
        <f t="shared" si="19"/>
        <v>0.34629629629629627</v>
      </c>
      <c r="E38" s="17">
        <f t="shared" si="19"/>
        <v>0.15555555555555556</v>
      </c>
      <c r="F38" s="17">
        <f t="shared" si="19"/>
        <v>0.25974025974025972</v>
      </c>
      <c r="G38" s="17">
        <f t="shared" si="19"/>
        <v>-0.18260869565217391</v>
      </c>
      <c r="I38" s="5" t="s">
        <v>10</v>
      </c>
      <c r="J38" s="17">
        <f t="shared" si="18"/>
        <v>4.3157894736842103E-2</v>
      </c>
      <c r="K38" s="17">
        <f t="shared" si="12"/>
        <v>8.3950617283950618E-2</v>
      </c>
      <c r="L38" s="17">
        <f t="shared" si="13"/>
        <v>0.34629629629629627</v>
      </c>
      <c r="M38" s="17">
        <f t="shared" si="14"/>
        <v>0.15555555555555556</v>
      </c>
      <c r="N38" s="17">
        <f t="shared" si="15"/>
        <v>0.25974025974025972</v>
      </c>
      <c r="O38" s="17">
        <f t="shared" si="16"/>
        <v>0.18260869565217391</v>
      </c>
    </row>
    <row r="39" spans="1:15" x14ac:dyDescent="0.35">
      <c r="A39" s="5" t="s">
        <v>11</v>
      </c>
      <c r="B39" s="17">
        <f t="shared" ref="B39:G39" si="20">B22/J6</f>
        <v>-5.0106609808102345E-2</v>
      </c>
      <c r="C39" s="17">
        <f t="shared" si="20"/>
        <v>0</v>
      </c>
      <c r="D39" s="17">
        <f t="shared" si="20"/>
        <v>0.31551724137931036</v>
      </c>
      <c r="E39" s="17">
        <f t="shared" si="20"/>
        <v>-0.18055555555555555</v>
      </c>
      <c r="F39" s="17">
        <f t="shared" si="20"/>
        <v>-8.8495575221238937E-2</v>
      </c>
      <c r="G39" s="17">
        <f t="shared" si="20"/>
        <v>-0.15254237288135594</v>
      </c>
      <c r="I39" s="5" t="s">
        <v>11</v>
      </c>
      <c r="J39" s="17">
        <f t="shared" si="18"/>
        <v>5.0106609808102345E-2</v>
      </c>
      <c r="K39" s="17">
        <f t="shared" si="12"/>
        <v>0</v>
      </c>
      <c r="L39" s="17">
        <f t="shared" si="13"/>
        <v>0.31551724137931036</v>
      </c>
      <c r="M39" s="17">
        <f t="shared" si="14"/>
        <v>0.18055555555555555</v>
      </c>
      <c r="N39" s="17">
        <f t="shared" si="15"/>
        <v>8.8495575221238937E-2</v>
      </c>
      <c r="O39" s="17">
        <f t="shared" si="16"/>
        <v>0.15254237288135594</v>
      </c>
    </row>
    <row r="40" spans="1:15" x14ac:dyDescent="0.35">
      <c r="A40" s="5" t="s">
        <v>12</v>
      </c>
      <c r="B40" s="17">
        <f t="shared" ref="B40:G40" si="21">B23/J7</f>
        <v>1.1123470522803114E-3</v>
      </c>
      <c r="C40" s="17">
        <f t="shared" si="21"/>
        <v>-3.9113428943937422E-3</v>
      </c>
      <c r="D40" s="17">
        <f t="shared" si="21"/>
        <v>0.25873015873015875</v>
      </c>
      <c r="E40" s="17">
        <f t="shared" si="21"/>
        <v>0.40909090909090912</v>
      </c>
      <c r="F40" s="17">
        <f t="shared" si="21"/>
        <v>0.16842105263157894</v>
      </c>
      <c r="G40" s="17">
        <f t="shared" si="21"/>
        <v>-0.17499999999999999</v>
      </c>
      <c r="I40" s="5" t="s">
        <v>12</v>
      </c>
      <c r="J40" s="17">
        <f t="shared" si="18"/>
        <v>1.1123470522803114E-3</v>
      </c>
      <c r="K40" s="17">
        <f t="shared" si="12"/>
        <v>3.9113428943937422E-3</v>
      </c>
      <c r="L40" s="17">
        <f t="shared" si="13"/>
        <v>0.25873015873015875</v>
      </c>
      <c r="M40" s="17">
        <f t="shared" si="14"/>
        <v>0.40909090909090912</v>
      </c>
      <c r="N40" s="17">
        <f t="shared" si="15"/>
        <v>0.16842105263157894</v>
      </c>
      <c r="O40" s="17">
        <f t="shared" si="16"/>
        <v>0.17499999999999999</v>
      </c>
    </row>
    <row r="41" spans="1:15" x14ac:dyDescent="0.35">
      <c r="A41" s="5" t="s">
        <v>13</v>
      </c>
      <c r="B41" s="17">
        <f t="shared" ref="B41:G41" si="22">B24/J8</f>
        <v>-4.9630411826821541E-2</v>
      </c>
      <c r="C41" s="17">
        <f t="shared" si="22"/>
        <v>0.10289855072463767</v>
      </c>
      <c r="D41" s="17">
        <f t="shared" si="22"/>
        <v>0.10277777777777777</v>
      </c>
      <c r="E41" s="21">
        <f t="shared" si="22"/>
        <v>3.4285714285714284</v>
      </c>
      <c r="F41" s="17">
        <f t="shared" si="22"/>
        <v>-0.17938931297709923</v>
      </c>
      <c r="G41" s="17">
        <f t="shared" si="22"/>
        <v>-0.18032786885245902</v>
      </c>
      <c r="I41" s="5" t="s">
        <v>13</v>
      </c>
      <c r="J41" s="17">
        <f t="shared" si="18"/>
        <v>4.9630411826821541E-2</v>
      </c>
      <c r="K41" s="17">
        <f t="shared" si="12"/>
        <v>0.10289855072463767</v>
      </c>
      <c r="L41" s="17">
        <f t="shared" si="13"/>
        <v>0.10277777777777777</v>
      </c>
      <c r="M41" s="21">
        <f t="shared" si="14"/>
        <v>3.4285714285714284</v>
      </c>
      <c r="N41" s="17">
        <f t="shared" si="15"/>
        <v>0.17938931297709923</v>
      </c>
      <c r="O41" s="17">
        <f t="shared" si="16"/>
        <v>0.18032786885245902</v>
      </c>
    </row>
    <row r="42" spans="1:15" x14ac:dyDescent="0.35">
      <c r="A42" s="5" t="s">
        <v>14</v>
      </c>
      <c r="B42" s="17">
        <f t="shared" ref="B42:G42" si="23">B25/J9</f>
        <v>-3.9874081846799581E-2</v>
      </c>
      <c r="C42" s="17">
        <f t="shared" si="23"/>
        <v>-8.9285714285714288E-2</v>
      </c>
      <c r="D42" s="17">
        <f t="shared" si="23"/>
        <v>0.34465195246179964</v>
      </c>
      <c r="E42" s="17">
        <f t="shared" si="23"/>
        <v>-1.6666666666666666E-2</v>
      </c>
      <c r="F42" s="17">
        <f t="shared" si="23"/>
        <v>0.42253521126760563</v>
      </c>
      <c r="G42" s="17">
        <f t="shared" si="23"/>
        <v>-0.15454545454545454</v>
      </c>
      <c r="I42" s="5" t="s">
        <v>14</v>
      </c>
      <c r="J42" s="17">
        <f t="shared" si="18"/>
        <v>3.9874081846799581E-2</v>
      </c>
      <c r="K42" s="17">
        <f t="shared" si="12"/>
        <v>8.9285714285714288E-2</v>
      </c>
      <c r="L42" s="17">
        <f t="shared" si="13"/>
        <v>0.34465195246179964</v>
      </c>
      <c r="M42" s="17">
        <f t="shared" si="14"/>
        <v>1.6666666666666666E-2</v>
      </c>
      <c r="N42" s="17">
        <f t="shared" si="15"/>
        <v>0.42253521126760563</v>
      </c>
      <c r="O42" s="17">
        <f t="shared" si="16"/>
        <v>0.15454545454545454</v>
      </c>
    </row>
    <row r="43" spans="1:15" x14ac:dyDescent="0.35">
      <c r="A43" s="5" t="s">
        <v>15</v>
      </c>
      <c r="B43" s="17">
        <f t="shared" ref="B43:G43" si="24">B26/J10</f>
        <v>1.2578616352201259E-2</v>
      </c>
      <c r="C43" s="17">
        <f t="shared" si="24"/>
        <v>0.12692307692307692</v>
      </c>
      <c r="D43" s="17">
        <f t="shared" si="24"/>
        <v>0.51111111111111107</v>
      </c>
      <c r="E43" s="17">
        <f t="shared" si="24"/>
        <v>-5.5555555555555552E-2</v>
      </c>
      <c r="F43" s="17">
        <f t="shared" si="24"/>
        <v>-0.26219512195121952</v>
      </c>
      <c r="G43" s="17">
        <f t="shared" si="24"/>
        <v>-0.18181818181818182</v>
      </c>
      <c r="I43" s="5" t="s">
        <v>15</v>
      </c>
      <c r="J43" s="17">
        <f t="shared" si="18"/>
        <v>1.2578616352201259E-2</v>
      </c>
      <c r="K43" s="17">
        <f t="shared" si="12"/>
        <v>0.12692307692307692</v>
      </c>
      <c r="L43" s="17">
        <f t="shared" si="13"/>
        <v>0.51111111111111107</v>
      </c>
      <c r="M43" s="17">
        <f t="shared" si="14"/>
        <v>5.5555555555555552E-2</v>
      </c>
      <c r="N43" s="17">
        <f t="shared" si="15"/>
        <v>0.26219512195121952</v>
      </c>
      <c r="O43" s="17">
        <f t="shared" si="16"/>
        <v>0.18181818181818182</v>
      </c>
    </row>
    <row r="44" spans="1:15" x14ac:dyDescent="0.35">
      <c r="A44" s="5" t="s">
        <v>16</v>
      </c>
      <c r="B44" s="17">
        <f t="shared" ref="B44:G44" si="25">B27/J11</f>
        <v>-3.3047735618115054E-2</v>
      </c>
      <c r="C44" s="17">
        <f t="shared" si="25"/>
        <v>-0.10303830911492734</v>
      </c>
      <c r="D44" s="17">
        <f t="shared" si="25"/>
        <v>-2.7397260273972603E-3</v>
      </c>
      <c r="E44" s="17">
        <f t="shared" si="25"/>
        <v>-0.15151515151515152</v>
      </c>
      <c r="F44" s="17">
        <f t="shared" si="25"/>
        <v>0.24840764331210191</v>
      </c>
      <c r="G44" s="17">
        <f t="shared" si="25"/>
        <v>-0.15454545454545454</v>
      </c>
      <c r="I44" s="5" t="s">
        <v>16</v>
      </c>
      <c r="J44" s="17">
        <f t="shared" si="18"/>
        <v>3.3047735618115054E-2</v>
      </c>
      <c r="K44" s="17">
        <f t="shared" si="12"/>
        <v>0.10303830911492734</v>
      </c>
      <c r="L44" s="17">
        <f t="shared" si="13"/>
        <v>2.7397260273972603E-3</v>
      </c>
      <c r="M44" s="17">
        <f t="shared" si="14"/>
        <v>0.15151515151515152</v>
      </c>
      <c r="N44" s="17">
        <f t="shared" si="15"/>
        <v>0.24840764331210191</v>
      </c>
      <c r="O44" s="17">
        <f t="shared" si="16"/>
        <v>0.15454545454545454</v>
      </c>
    </row>
    <row r="45" spans="1:15" x14ac:dyDescent="0.35">
      <c r="A45" s="5" t="s">
        <v>17</v>
      </c>
      <c r="B45" s="17">
        <f t="shared" ref="B45:G45" si="26">B28/J12</f>
        <v>-5.4461181923522596E-2</v>
      </c>
      <c r="C45" s="17">
        <f t="shared" si="26"/>
        <v>0.12032520325203253</v>
      </c>
      <c r="D45" s="17">
        <f t="shared" si="26"/>
        <v>3.1506849315068496E-2</v>
      </c>
      <c r="E45" s="17">
        <f t="shared" si="26"/>
        <v>0.20833333333333334</v>
      </c>
      <c r="F45" s="17">
        <f t="shared" si="26"/>
        <v>-0.08</v>
      </c>
      <c r="G45" s="17">
        <f t="shared" si="26"/>
        <v>-0.17391304347826086</v>
      </c>
      <c r="I45" s="5" t="s">
        <v>17</v>
      </c>
      <c r="J45" s="17">
        <f t="shared" si="18"/>
        <v>5.4461181923522596E-2</v>
      </c>
      <c r="K45" s="17">
        <f t="shared" si="12"/>
        <v>0.12032520325203253</v>
      </c>
      <c r="L45" s="17">
        <f t="shared" si="13"/>
        <v>3.1506849315068496E-2</v>
      </c>
      <c r="M45" s="17">
        <f t="shared" si="14"/>
        <v>0.20833333333333334</v>
      </c>
      <c r="N45" s="17">
        <f t="shared" si="15"/>
        <v>0.08</v>
      </c>
      <c r="O45" s="17">
        <f t="shared" si="16"/>
        <v>0.17391304347826086</v>
      </c>
    </row>
    <row r="46" spans="1:15" x14ac:dyDescent="0.35">
      <c r="A46" s="5" t="s">
        <v>18</v>
      </c>
      <c r="B46" s="17">
        <f t="shared" ref="B46:G46" si="27">B29/J13</f>
        <v>-1.4285714285714285E-2</v>
      </c>
      <c r="C46" s="17">
        <f t="shared" si="27"/>
        <v>-7.6923076923076927E-2</v>
      </c>
      <c r="D46" s="17">
        <f t="shared" si="27"/>
        <v>0.31456310679611649</v>
      </c>
      <c r="E46" s="17">
        <f t="shared" si="27"/>
        <v>-1.8181818181818181E-2</v>
      </c>
      <c r="F46" s="17">
        <f t="shared" si="27"/>
        <v>0.18518518518518517</v>
      </c>
      <c r="G46" s="17">
        <f t="shared" si="27"/>
        <v>-0.17307692307692307</v>
      </c>
      <c r="I46" s="5" t="s">
        <v>18</v>
      </c>
      <c r="J46" s="17">
        <f t="shared" si="18"/>
        <v>1.4285714285714285E-2</v>
      </c>
      <c r="K46" s="17">
        <f t="shared" si="12"/>
        <v>7.6923076923076927E-2</v>
      </c>
      <c r="L46" s="17">
        <f t="shared" si="13"/>
        <v>0.31456310679611649</v>
      </c>
      <c r="M46" s="17">
        <f t="shared" si="14"/>
        <v>1.8181818181818181E-2</v>
      </c>
      <c r="N46" s="17">
        <f t="shared" si="15"/>
        <v>0.18518518518518517</v>
      </c>
      <c r="O46" s="17">
        <f t="shared" si="16"/>
        <v>0.17307692307692307</v>
      </c>
    </row>
    <row r="47" spans="1:15" x14ac:dyDescent="0.35">
      <c r="A47" s="5" t="s">
        <v>19</v>
      </c>
      <c r="B47" s="17">
        <f t="shared" ref="B47:G47" si="28">B30/J14</f>
        <v>2.9166666666666667E-2</v>
      </c>
      <c r="C47" s="17">
        <f t="shared" si="28"/>
        <v>0.12424242424242424</v>
      </c>
      <c r="D47" s="17">
        <f t="shared" si="28"/>
        <v>0.16341463414634147</v>
      </c>
      <c r="E47" s="17">
        <f t="shared" si="28"/>
        <v>-0.20408163265306123</v>
      </c>
      <c r="F47" s="17">
        <f t="shared" si="28"/>
        <v>-0.1402439024390244</v>
      </c>
      <c r="G47" s="17">
        <f t="shared" si="28"/>
        <v>-0.22077922077922077</v>
      </c>
      <c r="I47" s="5" t="s">
        <v>19</v>
      </c>
      <c r="J47" s="17">
        <f t="shared" si="18"/>
        <v>2.9166666666666667E-2</v>
      </c>
      <c r="K47" s="17">
        <f t="shared" si="12"/>
        <v>0.12424242424242424</v>
      </c>
      <c r="L47" s="17">
        <f t="shared" si="13"/>
        <v>0.16341463414634147</v>
      </c>
      <c r="M47" s="17">
        <f t="shared" si="14"/>
        <v>0.20408163265306123</v>
      </c>
      <c r="N47" s="17">
        <f t="shared" si="15"/>
        <v>0.1402439024390244</v>
      </c>
      <c r="O47" s="17">
        <f t="shared" si="16"/>
        <v>0.22077922077922077</v>
      </c>
    </row>
    <row r="49" spans="1:15" s="13" customFormat="1" x14ac:dyDescent="0.35">
      <c r="A49" s="9" t="s">
        <v>33</v>
      </c>
      <c r="B49" s="18">
        <f>AVERAGE(B36:B47)</f>
        <v>-2.8759363543315607E-2</v>
      </c>
      <c r="C49" s="19">
        <f t="shared" ref="C49:G49" si="29">AVERAGE(C36:C47)</f>
        <v>9.5196200351227566E-3</v>
      </c>
      <c r="D49" s="18">
        <f t="shared" si="29"/>
        <v>0.25161024931084774</v>
      </c>
      <c r="E49" s="20">
        <f t="shared" si="29"/>
        <v>0.61124957053528473</v>
      </c>
      <c r="F49" s="18">
        <f t="shared" si="29"/>
        <v>5.9103180568406383E-2</v>
      </c>
      <c r="G49" s="18">
        <f t="shared" si="29"/>
        <v>-0.17479835176627892</v>
      </c>
      <c r="I49" s="13" t="s">
        <v>36</v>
      </c>
      <c r="J49" s="19">
        <f>AVERAGE(J36:J47)</f>
        <v>3.5902301888506981E-2</v>
      </c>
      <c r="K49" s="18">
        <f t="shared" ref="K49:O49" si="30">AVERAGE(K36:K47)</f>
        <v>8.5349853523055241E-2</v>
      </c>
      <c r="L49" s="18">
        <f t="shared" si="30"/>
        <v>0.25206687031541397</v>
      </c>
      <c r="M49" s="20">
        <f t="shared" si="30"/>
        <v>0.73900896722325304</v>
      </c>
      <c r="N49" s="18">
        <f t="shared" si="30"/>
        <v>0.22615716599983673</v>
      </c>
      <c r="O49" s="18">
        <f t="shared" si="30"/>
        <v>0.17479835176627892</v>
      </c>
    </row>
    <row r="50" spans="1:15" x14ac:dyDescent="0.35">
      <c r="A50" s="9" t="s">
        <v>35</v>
      </c>
      <c r="B50" s="24">
        <f>B32/J15</f>
        <v>-3.3340480274442537E-2</v>
      </c>
      <c r="C50" s="26">
        <f t="shared" ref="C50:G50" si="31">C32/K15</f>
        <v>-6.1178348184599014E-3</v>
      </c>
      <c r="D50" s="25">
        <f t="shared" si="31"/>
        <v>0.22372417982989065</v>
      </c>
      <c r="E50" s="24">
        <f t="shared" si="31"/>
        <v>0.14207650273224043</v>
      </c>
      <c r="F50" s="24">
        <f t="shared" si="31"/>
        <v>1.5412511332728921E-2</v>
      </c>
      <c r="G50" s="24">
        <f t="shared" si="31"/>
        <v>-0.17304625199362039</v>
      </c>
      <c r="I50" s="13" t="s">
        <v>37</v>
      </c>
      <c r="J50" s="26">
        <f>J32/J15</f>
        <v>3.7414236706689537E-2</v>
      </c>
      <c r="K50" s="24">
        <f t="shared" ref="K50:O50" si="32">K32/K15</f>
        <v>7.8999867003590893E-2</v>
      </c>
      <c r="L50" s="24">
        <f t="shared" si="32"/>
        <v>0.22433171324422843</v>
      </c>
      <c r="M50" s="25">
        <f t="shared" si="32"/>
        <v>0.30236794171220405</v>
      </c>
      <c r="N50" s="24">
        <f t="shared" si="32"/>
        <v>0.20942883046237534</v>
      </c>
      <c r="O50" s="24">
        <f t="shared" si="32"/>
        <v>0.17304625199362039</v>
      </c>
    </row>
    <row r="52" spans="1:15" x14ac:dyDescent="0.35">
      <c r="A52" t="s">
        <v>42</v>
      </c>
      <c r="B52" t="s">
        <v>41</v>
      </c>
    </row>
    <row r="53" spans="1:15" x14ac:dyDescent="0.35">
      <c r="B53" s="2" t="s">
        <v>2</v>
      </c>
      <c r="C53" s="2" t="s">
        <v>3</v>
      </c>
      <c r="D53" s="2" t="s">
        <v>4</v>
      </c>
      <c r="E53" s="2" t="s">
        <v>5</v>
      </c>
      <c r="F53" s="2" t="s">
        <v>6</v>
      </c>
      <c r="G53" s="2" t="s">
        <v>7</v>
      </c>
    </row>
    <row r="54" spans="1:15" x14ac:dyDescent="0.35">
      <c r="A54" s="3" t="s">
        <v>8</v>
      </c>
      <c r="B54" s="30">
        <f>B19^2</f>
        <v>841</v>
      </c>
      <c r="C54" s="30">
        <f t="shared" ref="C54:G54" si="33">C19^2</f>
        <v>2116</v>
      </c>
      <c r="D54" s="30">
        <f t="shared" si="33"/>
        <v>15876</v>
      </c>
      <c r="E54" s="30">
        <f t="shared" si="33"/>
        <v>49</v>
      </c>
      <c r="F54" s="30">
        <f t="shared" si="33"/>
        <v>2209</v>
      </c>
      <c r="G54" s="30">
        <f t="shared" si="33"/>
        <v>361</v>
      </c>
    </row>
    <row r="55" spans="1:15" x14ac:dyDescent="0.35">
      <c r="A55" s="5" t="s">
        <v>9</v>
      </c>
      <c r="B55" s="30">
        <f t="shared" ref="B55:G55" si="34">B20^2</f>
        <v>1849</v>
      </c>
      <c r="C55" s="30">
        <f t="shared" si="34"/>
        <v>3025</v>
      </c>
      <c r="D55" s="30">
        <f t="shared" si="34"/>
        <v>22201</v>
      </c>
      <c r="E55" s="30">
        <f t="shared" si="34"/>
        <v>1521</v>
      </c>
      <c r="F55" s="30">
        <f t="shared" si="34"/>
        <v>3969</v>
      </c>
      <c r="G55" s="30">
        <f t="shared" si="34"/>
        <v>289</v>
      </c>
    </row>
    <row r="56" spans="1:15" x14ac:dyDescent="0.35">
      <c r="A56" s="5" t="s">
        <v>10</v>
      </c>
      <c r="B56" s="30">
        <f t="shared" ref="B56:G56" si="35">B21^2</f>
        <v>1681</v>
      </c>
      <c r="C56" s="30">
        <f t="shared" si="35"/>
        <v>4624</v>
      </c>
      <c r="D56" s="30">
        <f t="shared" si="35"/>
        <v>34969</v>
      </c>
      <c r="E56" s="30">
        <f t="shared" si="35"/>
        <v>49</v>
      </c>
      <c r="F56" s="30">
        <f t="shared" si="35"/>
        <v>1600</v>
      </c>
      <c r="G56" s="30">
        <f t="shared" si="35"/>
        <v>441</v>
      </c>
    </row>
    <row r="57" spans="1:15" x14ac:dyDescent="0.35">
      <c r="A57" s="5" t="s">
        <v>11</v>
      </c>
      <c r="B57" s="30">
        <f t="shared" ref="B57:G57" si="36">B22^2</f>
        <v>2209</v>
      </c>
      <c r="C57" s="30">
        <f t="shared" si="36"/>
        <v>0</v>
      </c>
      <c r="D57" s="30">
        <f t="shared" si="36"/>
        <v>33489</v>
      </c>
      <c r="E57" s="30">
        <f t="shared" si="36"/>
        <v>169</v>
      </c>
      <c r="F57" s="30">
        <f t="shared" si="36"/>
        <v>400</v>
      </c>
      <c r="G57" s="30">
        <f t="shared" si="36"/>
        <v>324</v>
      </c>
    </row>
    <row r="58" spans="1:15" x14ac:dyDescent="0.35">
      <c r="A58" s="5" t="s">
        <v>12</v>
      </c>
      <c r="B58" s="30">
        <f t="shared" ref="B58:G58" si="37">B23^2</f>
        <v>1</v>
      </c>
      <c r="C58" s="30">
        <f t="shared" si="37"/>
        <v>9</v>
      </c>
      <c r="D58" s="30">
        <f t="shared" si="37"/>
        <v>26569</v>
      </c>
      <c r="E58" s="30">
        <f t="shared" si="37"/>
        <v>324</v>
      </c>
      <c r="F58" s="30">
        <f t="shared" si="37"/>
        <v>1024</v>
      </c>
      <c r="G58" s="30">
        <f t="shared" si="37"/>
        <v>441</v>
      </c>
    </row>
    <row r="59" spans="1:15" x14ac:dyDescent="0.35">
      <c r="A59" s="5" t="s">
        <v>13</v>
      </c>
      <c r="B59" s="30">
        <f t="shared" ref="B59:G59" si="38">B24^2</f>
        <v>2209</v>
      </c>
      <c r="C59" s="30">
        <f t="shared" si="38"/>
        <v>5041</v>
      </c>
      <c r="D59" s="30">
        <f t="shared" si="38"/>
        <v>5476</v>
      </c>
      <c r="E59" s="30">
        <f t="shared" si="38"/>
        <v>2304</v>
      </c>
      <c r="F59" s="30">
        <f t="shared" si="38"/>
        <v>2209</v>
      </c>
      <c r="G59" s="30">
        <f t="shared" si="38"/>
        <v>484</v>
      </c>
    </row>
    <row r="60" spans="1:15" x14ac:dyDescent="0.35">
      <c r="A60" s="5" t="s">
        <v>14</v>
      </c>
      <c r="B60" s="30">
        <f t="shared" ref="B60:G60" si="39">B25^2</f>
        <v>1444</v>
      </c>
      <c r="C60" s="30">
        <f t="shared" si="39"/>
        <v>5625</v>
      </c>
      <c r="D60" s="30">
        <f t="shared" si="39"/>
        <v>41209</v>
      </c>
      <c r="E60" s="30">
        <f t="shared" si="39"/>
        <v>1</v>
      </c>
      <c r="F60" s="30">
        <f t="shared" si="39"/>
        <v>3600</v>
      </c>
      <c r="G60" s="30">
        <f t="shared" si="39"/>
        <v>289</v>
      </c>
    </row>
    <row r="61" spans="1:15" x14ac:dyDescent="0.35">
      <c r="A61" s="5" t="s">
        <v>15</v>
      </c>
      <c r="B61" s="30">
        <f t="shared" ref="B61:G61" si="40">B26^2</f>
        <v>16</v>
      </c>
      <c r="C61" s="30">
        <f t="shared" si="40"/>
        <v>1089</v>
      </c>
      <c r="D61" s="30">
        <f t="shared" si="40"/>
        <v>19044</v>
      </c>
      <c r="E61" s="30">
        <f t="shared" si="40"/>
        <v>4</v>
      </c>
      <c r="F61" s="30">
        <f t="shared" si="40"/>
        <v>1849</v>
      </c>
      <c r="G61" s="30">
        <f t="shared" si="40"/>
        <v>100</v>
      </c>
    </row>
    <row r="62" spans="1:15" x14ac:dyDescent="0.35">
      <c r="A62" s="5" t="s">
        <v>16</v>
      </c>
      <c r="B62" s="30">
        <f t="shared" ref="B62:G62" si="41">B27^2</f>
        <v>729</v>
      </c>
      <c r="C62" s="30">
        <f t="shared" si="41"/>
        <v>6084</v>
      </c>
      <c r="D62" s="30">
        <f t="shared" si="41"/>
        <v>4</v>
      </c>
      <c r="E62" s="30">
        <f t="shared" si="41"/>
        <v>100</v>
      </c>
      <c r="F62" s="30">
        <f t="shared" si="41"/>
        <v>1521</v>
      </c>
      <c r="G62" s="30">
        <f t="shared" si="41"/>
        <v>289</v>
      </c>
    </row>
    <row r="63" spans="1:15" x14ac:dyDescent="0.35">
      <c r="A63" s="5" t="s">
        <v>17</v>
      </c>
      <c r="B63" s="30">
        <f t="shared" ref="B63:G63" si="42">B28^2</f>
        <v>2209</v>
      </c>
      <c r="C63" s="30">
        <f t="shared" si="42"/>
        <v>5476</v>
      </c>
      <c r="D63" s="30">
        <f t="shared" si="42"/>
        <v>529</v>
      </c>
      <c r="E63" s="30">
        <f t="shared" si="42"/>
        <v>100</v>
      </c>
      <c r="F63" s="30">
        <f t="shared" si="42"/>
        <v>324</v>
      </c>
      <c r="G63" s="30">
        <f t="shared" si="42"/>
        <v>400</v>
      </c>
    </row>
    <row r="64" spans="1:15" x14ac:dyDescent="0.35">
      <c r="A64" s="5" t="s">
        <v>18</v>
      </c>
      <c r="B64" s="30">
        <f t="shared" ref="B64:G64" si="43">B29^2</f>
        <v>121</v>
      </c>
      <c r="C64" s="30">
        <f t="shared" si="43"/>
        <v>2500</v>
      </c>
      <c r="D64" s="30">
        <f t="shared" si="43"/>
        <v>26244</v>
      </c>
      <c r="E64" s="30">
        <f t="shared" si="43"/>
        <v>1</v>
      </c>
      <c r="F64" s="30">
        <f t="shared" si="43"/>
        <v>900</v>
      </c>
      <c r="G64" s="30">
        <f t="shared" si="43"/>
        <v>324</v>
      </c>
    </row>
    <row r="65" spans="1:9" x14ac:dyDescent="0.35">
      <c r="A65" s="5" t="s">
        <v>19</v>
      </c>
      <c r="B65" s="30">
        <f t="shared" ref="B65:G65" si="44">B30^2</f>
        <v>196</v>
      </c>
      <c r="C65" s="30">
        <f t="shared" si="44"/>
        <v>1681</v>
      </c>
      <c r="D65" s="30">
        <f t="shared" si="44"/>
        <v>4489</v>
      </c>
      <c r="E65" s="30">
        <f t="shared" si="44"/>
        <v>100</v>
      </c>
      <c r="F65" s="30">
        <f t="shared" si="44"/>
        <v>529</v>
      </c>
      <c r="G65" s="30">
        <f t="shared" si="44"/>
        <v>289</v>
      </c>
    </row>
    <row r="67" spans="1:9" x14ac:dyDescent="0.35">
      <c r="A67" s="9" t="s">
        <v>43</v>
      </c>
      <c r="B67" s="23">
        <f>AVERAGE(B54:B65)</f>
        <v>1125.4166666666667</v>
      </c>
      <c r="C67" s="23">
        <f t="shared" ref="C67:G67" si="45">AVERAGE(C54:C65)</f>
        <v>3105.8333333333335</v>
      </c>
      <c r="D67" s="28">
        <f t="shared" si="45"/>
        <v>19174.916666666668</v>
      </c>
      <c r="E67" s="23">
        <f t="shared" si="45"/>
        <v>393.5</v>
      </c>
      <c r="F67" s="23">
        <f t="shared" si="45"/>
        <v>1677.8333333333333</v>
      </c>
      <c r="G67" s="27">
        <f t="shared" si="45"/>
        <v>335.91666666666669</v>
      </c>
    </row>
    <row r="68" spans="1:9" x14ac:dyDescent="0.35">
      <c r="A68" s="9" t="s">
        <v>44</v>
      </c>
      <c r="B68" s="23">
        <f>B67^0.5</f>
        <v>33.547230387420463</v>
      </c>
      <c r="C68" s="23">
        <f t="shared" ref="C68:G68" si="46">C67^0.5</f>
        <v>55.730003887792201</v>
      </c>
      <c r="D68" s="28">
        <f t="shared" si="46"/>
        <v>138.47352334170841</v>
      </c>
      <c r="E68" s="23">
        <f t="shared" si="46"/>
        <v>19.836834424877374</v>
      </c>
      <c r="F68" s="23">
        <f t="shared" si="46"/>
        <v>40.961363909583547</v>
      </c>
      <c r="G68" s="27">
        <f t="shared" si="46"/>
        <v>18.328029535841182</v>
      </c>
    </row>
    <row r="70" spans="1:9" x14ac:dyDescent="0.35">
      <c r="B70" t="s">
        <v>45</v>
      </c>
      <c r="C70" s="6" t="s">
        <v>47</v>
      </c>
      <c r="E70" t="s">
        <v>46</v>
      </c>
    </row>
    <row r="71" spans="1:9" x14ac:dyDescent="0.35"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</row>
    <row r="72" spans="1:9" x14ac:dyDescent="0.35">
      <c r="A72" s="3" t="s">
        <v>8</v>
      </c>
      <c r="B72" s="29"/>
      <c r="C72" s="29"/>
      <c r="D72" s="29"/>
      <c r="E72" s="29"/>
      <c r="F72" s="29"/>
      <c r="G72" s="29"/>
    </row>
    <row r="73" spans="1:9" x14ac:dyDescent="0.35">
      <c r="A73" s="5" t="s">
        <v>9</v>
      </c>
      <c r="B73" s="8">
        <f>J20/ABS(J3-J4)</f>
        <v>0.1575091575091575</v>
      </c>
      <c r="C73" s="8">
        <f t="shared" ref="C73:G73" si="47">K20/ABS(K3-K4)</f>
        <v>0.5</v>
      </c>
      <c r="D73" s="8">
        <f t="shared" si="47"/>
        <v>1.6555555555555554</v>
      </c>
      <c r="E73" s="8">
        <f t="shared" si="47"/>
        <v>0.97499999999999998</v>
      </c>
      <c r="F73" s="8">
        <f t="shared" si="47"/>
        <v>0.45</v>
      </c>
      <c r="G73" s="8">
        <f t="shared" si="47"/>
        <v>1.4166666666666667</v>
      </c>
      <c r="I73" s="17"/>
    </row>
    <row r="74" spans="1:9" x14ac:dyDescent="0.35">
      <c r="A74" s="5" t="s">
        <v>10</v>
      </c>
      <c r="B74" s="8">
        <f t="shared" ref="B74:G74" si="48">J21/ABS(J4-J5)</f>
        <v>0.3504273504273504</v>
      </c>
      <c r="C74" s="8">
        <f t="shared" si="48"/>
        <v>0.29565217391304349</v>
      </c>
      <c r="D74" s="8">
        <f t="shared" si="48"/>
        <v>3.1166666666666667</v>
      </c>
      <c r="E74" s="8">
        <f t="shared" si="48"/>
        <v>0.2</v>
      </c>
      <c r="F74" s="8">
        <f t="shared" si="48"/>
        <v>0.41666666666666669</v>
      </c>
      <c r="G74" s="8">
        <f t="shared" si="48"/>
        <v>4.2</v>
      </c>
    </row>
    <row r="75" spans="1:9" x14ac:dyDescent="0.35">
      <c r="A75" s="5" t="s">
        <v>11</v>
      </c>
      <c r="B75" s="8">
        <f t="shared" ref="B75:G75" si="49">J22/ABS(J5-J6)</f>
        <v>3.9166666666666665</v>
      </c>
      <c r="C75" s="8">
        <f t="shared" si="49"/>
        <v>0</v>
      </c>
      <c r="D75" s="8">
        <f t="shared" si="49"/>
        <v>4.5750000000000002</v>
      </c>
      <c r="E75" s="8">
        <f t="shared" si="49"/>
        <v>0.48148148148148145</v>
      </c>
      <c r="F75" s="8">
        <f t="shared" si="49"/>
        <v>0.27777777777777779</v>
      </c>
      <c r="G75" s="8">
        <f t="shared" si="49"/>
        <v>6</v>
      </c>
    </row>
    <row r="76" spans="1:9" x14ac:dyDescent="0.35">
      <c r="A76" s="5" t="s">
        <v>12</v>
      </c>
      <c r="B76" s="8">
        <f t="shared" ref="B76:G76" si="50">J23/ABS(J6-J7)</f>
        <v>2.564102564102564E-2</v>
      </c>
      <c r="C76" s="8">
        <f t="shared" si="50"/>
        <v>0.17647058823529413</v>
      </c>
      <c r="D76" s="8">
        <f t="shared" si="50"/>
        <v>3.26</v>
      </c>
      <c r="E76" s="8">
        <f t="shared" si="50"/>
        <v>0.6428571428571429</v>
      </c>
      <c r="F76" s="8">
        <f t="shared" si="50"/>
        <v>0.88888888888888884</v>
      </c>
      <c r="G76" s="8">
        <f t="shared" si="50"/>
        <v>10.5</v>
      </c>
    </row>
    <row r="77" spans="1:9" x14ac:dyDescent="0.35">
      <c r="A77" s="5" t="s">
        <v>13</v>
      </c>
      <c r="B77" s="8">
        <f t="shared" ref="B77:G77" si="51">J24/ABS(J7-J8)</f>
        <v>0.97916666666666663</v>
      </c>
      <c r="C77" s="8">
        <f t="shared" si="51"/>
        <v>0.92207792207792205</v>
      </c>
      <c r="D77" s="8">
        <f t="shared" si="51"/>
        <v>0.82222222222222219</v>
      </c>
      <c r="E77" s="8">
        <f t="shared" si="51"/>
        <v>1.6</v>
      </c>
      <c r="F77" s="8">
        <f t="shared" si="51"/>
        <v>0.65277777777777779</v>
      </c>
      <c r="G77" s="8">
        <f t="shared" si="51"/>
        <v>11</v>
      </c>
    </row>
    <row r="78" spans="1:9" x14ac:dyDescent="0.35">
      <c r="A78" s="5" t="s">
        <v>14</v>
      </c>
      <c r="B78" s="8">
        <f t="shared" ref="B78:G78" si="52">J25/ABS(J8-J9)</f>
        <v>6.333333333333333</v>
      </c>
      <c r="C78" s="8">
        <f t="shared" si="52"/>
        <v>0.5</v>
      </c>
      <c r="D78" s="8">
        <f t="shared" si="52"/>
        <v>1.5496183206106871</v>
      </c>
      <c r="E78" s="8">
        <f t="shared" si="52"/>
        <v>2.1739130434782608E-2</v>
      </c>
      <c r="F78" s="8">
        <f t="shared" si="52"/>
        <v>0.5</v>
      </c>
      <c r="G78" s="8">
        <f t="shared" si="52"/>
        <v>1.4166666666666667</v>
      </c>
    </row>
    <row r="79" spans="1:9" x14ac:dyDescent="0.35">
      <c r="A79" s="5" t="s">
        <v>15</v>
      </c>
      <c r="B79" s="8">
        <f t="shared" ref="B79:G79" si="53">J26/ABS(J9-J10)</f>
        <v>6.2992125984251968E-3</v>
      </c>
      <c r="C79" s="8">
        <f t="shared" si="53"/>
        <v>5.6896551724137934E-2</v>
      </c>
      <c r="D79" s="8">
        <f t="shared" si="53"/>
        <v>0.43260188087774293</v>
      </c>
      <c r="E79" s="8">
        <f t="shared" si="53"/>
        <v>8.3333333333333329E-2</v>
      </c>
      <c r="F79" s="8">
        <f t="shared" si="53"/>
        <v>1.9545454545454546</v>
      </c>
      <c r="G79" s="8">
        <f t="shared" si="53"/>
        <v>0.18181818181818182</v>
      </c>
    </row>
    <row r="80" spans="1:9" x14ac:dyDescent="0.35">
      <c r="A80" s="5" t="s">
        <v>16</v>
      </c>
      <c r="B80" s="8">
        <f t="shared" ref="B80:G80" si="54">J27/ABS(J10-J11)</f>
        <v>5.410821643286573E-2</v>
      </c>
      <c r="C80" s="8">
        <f t="shared" si="54"/>
        <v>0.15694164989939638</v>
      </c>
      <c r="D80" s="8">
        <f t="shared" si="54"/>
        <v>4.3478260869565218E-3</v>
      </c>
      <c r="E80" s="8">
        <f t="shared" si="54"/>
        <v>0.33333333333333331</v>
      </c>
      <c r="F80" s="8">
        <f t="shared" si="54"/>
        <v>5.5714285714285712</v>
      </c>
      <c r="G80" s="8">
        <f t="shared" si="54"/>
        <v>0.30909090909090908</v>
      </c>
    </row>
    <row r="81" spans="1:7" x14ac:dyDescent="0.35">
      <c r="A81" s="5" t="s">
        <v>17</v>
      </c>
      <c r="B81" s="8">
        <f t="shared" ref="B81:G81" si="55">J28/ABS(J11-J12)</f>
        <v>1.0217391304347827</v>
      </c>
      <c r="C81" s="8">
        <f t="shared" si="55"/>
        <v>0.52112676056338025</v>
      </c>
      <c r="D81" s="8"/>
      <c r="E81" s="8">
        <f t="shared" si="55"/>
        <v>0.55555555555555558</v>
      </c>
      <c r="F81" s="8">
        <f t="shared" si="55"/>
        <v>0.26470588235294118</v>
      </c>
      <c r="G81" s="8">
        <f t="shared" si="55"/>
        <v>4</v>
      </c>
    </row>
    <row r="82" spans="1:7" x14ac:dyDescent="0.35">
      <c r="A82" s="5" t="s">
        <v>18</v>
      </c>
      <c r="B82" s="8">
        <f t="shared" ref="B82:G82" si="56">J29/ABS(J12-J13)</f>
        <v>0.11827956989247312</v>
      </c>
      <c r="C82" s="8">
        <f t="shared" si="56"/>
        <v>1.4285714285714286</v>
      </c>
      <c r="D82" s="8">
        <f t="shared" si="56"/>
        <v>0.75348837209302322</v>
      </c>
      <c r="E82" s="8">
        <f t="shared" si="56"/>
        <v>0.14285714285714285</v>
      </c>
      <c r="F82" s="8">
        <f t="shared" si="56"/>
        <v>0.47619047619047616</v>
      </c>
      <c r="G82" s="8">
        <f t="shared" si="56"/>
        <v>1.6363636363636365</v>
      </c>
    </row>
    <row r="83" spans="1:7" x14ac:dyDescent="0.35">
      <c r="A83" s="5" t="s">
        <v>19</v>
      </c>
      <c r="B83" s="8">
        <f t="shared" ref="B83:G83" si="57">J30/ABS(J13-J14)</f>
        <v>4.8275862068965517E-2</v>
      </c>
      <c r="C83" s="8">
        <f t="shared" si="57"/>
        <v>0.12812499999999999</v>
      </c>
      <c r="D83" s="8">
        <f t="shared" si="57"/>
        <v>0.63809523809523805</v>
      </c>
      <c r="E83" s="8">
        <f t="shared" si="57"/>
        <v>1.6666666666666667</v>
      </c>
      <c r="F83" s="8">
        <f t="shared" si="57"/>
        <v>11.5</v>
      </c>
      <c r="G83" s="8">
        <f t="shared" si="57"/>
        <v>0.62962962962962965</v>
      </c>
    </row>
    <row r="85" spans="1:7" x14ac:dyDescent="0.35">
      <c r="A85" s="3" t="s">
        <v>48</v>
      </c>
      <c r="B85" s="31">
        <f>AVERAGE(B73:B83)</f>
        <v>1.1828587446974284</v>
      </c>
      <c r="C85" s="32">
        <f t="shared" ref="C85:G85" si="58">AVERAGE(C73:C83)</f>
        <v>0.42598746136223659</v>
      </c>
      <c r="D85" s="31">
        <f t="shared" si="58"/>
        <v>1.6807596082208094</v>
      </c>
      <c r="E85" s="33">
        <f t="shared" si="58"/>
        <v>0.60934761695631268</v>
      </c>
      <c r="F85" s="31">
        <f t="shared" si="58"/>
        <v>2.0866346814207777</v>
      </c>
      <c r="G85" s="34">
        <f t="shared" si="58"/>
        <v>3.7536577900214256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7BE3C133BDA3408CE4FFE78B871CF4" ma:contentTypeVersion="18" ma:contentTypeDescription="Creare un nuovo documento." ma:contentTypeScope="" ma:versionID="26f9215dba440f35cabbd6efbd8117ef">
  <xsd:schema xmlns:xsd="http://www.w3.org/2001/XMLSchema" xmlns:xs="http://www.w3.org/2001/XMLSchema" xmlns:p="http://schemas.microsoft.com/office/2006/metadata/properties" xmlns:ns2="fde55dad-adb2-4777-9254-64af4217252e" xmlns:ns3="c4dbd672-458a-46f4-89d4-48fc562d8c99" targetNamespace="http://schemas.microsoft.com/office/2006/metadata/properties" ma:root="true" ma:fieldsID="5bc03b4a470cb536d30479038f5f98e3" ns2:_="" ns3:_="">
    <xsd:import namespace="fde55dad-adb2-4777-9254-64af4217252e"/>
    <xsd:import namespace="c4dbd672-458a-46f4-89d4-48fc562d8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55dad-adb2-4777-9254-64af42172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71431703-3311-4b2c-82f4-f5756c7de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bd672-458a-46f4-89d4-48fc562d8c9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c46823d-2b14-4ee1-a253-9d276605b29d}" ma:internalName="TaxCatchAll" ma:showField="CatchAllData" ma:web="c4dbd672-458a-46f4-89d4-48fc562d8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8FDB27-AFE3-4FF5-996A-AD653B9CAD28}"/>
</file>

<file path=customXml/itemProps2.xml><?xml version="1.0" encoding="utf-8"?>
<ds:datastoreItem xmlns:ds="http://schemas.openxmlformats.org/officeDocument/2006/customXml" ds:itemID="{922210C2-DBA3-45B6-8F76-2967BCA03B0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Dipartimento di Ingegneria - Universitá degli Studi di Bergamo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Kalchschmidt</dc:creator>
  <cp:lastModifiedBy>Albachiara Boffelli</cp:lastModifiedBy>
  <dcterms:created xsi:type="dcterms:W3CDTF">2014-04-07T10:05:01Z</dcterms:created>
  <dcterms:modified xsi:type="dcterms:W3CDTF">2023-05-05T15:04:52Z</dcterms:modified>
</cp:coreProperties>
</file>